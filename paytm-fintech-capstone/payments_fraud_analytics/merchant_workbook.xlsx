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osha\Downloads\"/>
    </mc:Choice>
  </mc:AlternateContent>
  <xr:revisionPtr revIDLastSave="0" documentId="8_{F8F49D79-E735-43C3-9335-EE3FC72F45FA}" xr6:coauthVersionLast="47" xr6:coauthVersionMax="47" xr10:uidLastSave="{00000000-0000-0000-0000-000000000000}"/>
  <bookViews>
    <workbookView xWindow="-103" yWindow="-103" windowWidth="22149" windowHeight="13200" tabRatio="810" activeTab="6" xr2:uid="{00000000-000D-0000-FFFF-FFFF00000000}"/>
  </bookViews>
  <sheets>
    <sheet name="main file" sheetId="1" r:id="rId1"/>
    <sheet name="Merchants" sheetId="3" r:id="rId2"/>
    <sheet name="Transactions_View" sheetId="4" r:id="rId3"/>
    <sheet name="Fee_Lookup" sheetId="5" r:id="rId4"/>
    <sheet name="Daily_Summary" sheetId="9" r:id="rId5"/>
    <sheet name="Pivot_Analysis" sheetId="7" r:id="rId6"/>
    <sheet name="Merchant_Comparison" sheetId="8" r:id="rId7"/>
  </sheets>
  <calcPr calcId="191029"/>
  <pivotCaches>
    <pivotCache cacheId="17" r:id="rId8"/>
  </pivotCaches>
  <fileRecoveryPr dataExtract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6" i="8" l="1"/>
  <c r="B6" i="8"/>
  <c r="C5" i="8"/>
  <c r="B5" i="8"/>
  <c r="C4" i="8"/>
  <c r="B4" i="8"/>
  <c r="C3" i="8"/>
  <c r="B3" i="8"/>
  <c r="C2" i="8"/>
  <c r="B2" i="8"/>
  <c r="E7" i="9"/>
  <c r="E8" i="9"/>
  <c r="E9" i="9"/>
  <c r="E11" i="9"/>
  <c r="E12" i="9"/>
  <c r="E13" i="9"/>
  <c r="E20" i="9"/>
  <c r="E21" i="9"/>
  <c r="E22" i="9"/>
  <c r="E27" i="9"/>
  <c r="E28" i="9"/>
  <c r="E32" i="9"/>
  <c r="E33" i="9"/>
  <c r="E34" i="9"/>
  <c r="E40" i="9"/>
  <c r="E41" i="9"/>
  <c r="E42" i="9"/>
  <c r="E43" i="9"/>
  <c r="E47" i="9"/>
  <c r="E48" i="9"/>
  <c r="E52" i="9"/>
  <c r="E53" i="9"/>
  <c r="E54" i="9"/>
  <c r="E60" i="9"/>
  <c r="E61" i="9"/>
  <c r="E62" i="9"/>
  <c r="E63" i="9"/>
  <c r="E67" i="9"/>
  <c r="E68" i="9"/>
  <c r="E72" i="9"/>
  <c r="E73" i="9"/>
  <c r="E74" i="9"/>
  <c r="E80" i="9"/>
  <c r="E81" i="9"/>
  <c r="E82" i="9"/>
  <c r="E83" i="9"/>
  <c r="E87" i="9"/>
  <c r="E88" i="9"/>
  <c r="E92" i="9"/>
  <c r="E93" i="9"/>
  <c r="E94" i="9"/>
  <c r="E100" i="9"/>
  <c r="E101" i="9"/>
  <c r="E102" i="9"/>
  <c r="E103" i="9"/>
  <c r="E107" i="9"/>
  <c r="E108" i="9"/>
  <c r="E112" i="9"/>
  <c r="E113" i="9"/>
  <c r="E114" i="9"/>
  <c r="E120" i="9"/>
  <c r="E121" i="9"/>
  <c r="E122" i="9"/>
  <c r="E123" i="9"/>
  <c r="E127" i="9"/>
  <c r="E128" i="9"/>
  <c r="E132" i="9"/>
  <c r="E133" i="9"/>
  <c r="E134" i="9"/>
  <c r="E140" i="9"/>
  <c r="E141" i="9"/>
  <c r="E142" i="9"/>
  <c r="E143" i="9"/>
  <c r="E147" i="9"/>
  <c r="E148" i="9"/>
  <c r="E152" i="9"/>
  <c r="E153" i="9"/>
  <c r="E154" i="9"/>
  <c r="E160" i="9"/>
  <c r="E161" i="9"/>
  <c r="E162" i="9"/>
  <c r="E163" i="9"/>
  <c r="E167" i="9"/>
  <c r="E168" i="9"/>
  <c r="E172" i="9"/>
  <c r="E173" i="9"/>
  <c r="E174" i="9"/>
  <c r="E180" i="9"/>
  <c r="E181" i="9"/>
  <c r="E182" i="9"/>
  <c r="E183" i="9"/>
  <c r="E187" i="9"/>
  <c r="E188" i="9"/>
  <c r="E192" i="9"/>
  <c r="E193" i="9"/>
  <c r="E194" i="9"/>
  <c r="E200" i="9"/>
  <c r="E201" i="9"/>
  <c r="E202" i="9"/>
  <c r="E203" i="9"/>
  <c r="E207" i="9"/>
  <c r="E208" i="9"/>
  <c r="E212" i="9"/>
  <c r="E213" i="9"/>
  <c r="E214" i="9"/>
  <c r="E220" i="9"/>
  <c r="E221" i="9"/>
  <c r="E222" i="9"/>
  <c r="E223" i="9"/>
  <c r="E227" i="9"/>
  <c r="E228" i="9"/>
  <c r="E232" i="9"/>
  <c r="E233" i="9"/>
  <c r="E234" i="9"/>
  <c r="E240" i="9"/>
  <c r="E241" i="9"/>
  <c r="E242" i="9"/>
  <c r="E243" i="9"/>
  <c r="E247" i="9"/>
  <c r="E248" i="9"/>
  <c r="E252" i="9"/>
  <c r="E253" i="9"/>
  <c r="E254" i="9"/>
  <c r="E260" i="9"/>
  <c r="E261" i="9"/>
  <c r="E262" i="9"/>
  <c r="E263" i="9"/>
  <c r="E267" i="9"/>
  <c r="E268" i="9"/>
  <c r="E272" i="9"/>
  <c r="E273" i="9"/>
  <c r="E274" i="9"/>
  <c r="E280" i="9"/>
  <c r="E281" i="9"/>
  <c r="E282" i="9"/>
  <c r="E283" i="9"/>
  <c r="E287" i="9"/>
  <c r="E288" i="9"/>
  <c r="E292" i="9"/>
  <c r="E293" i="9"/>
  <c r="E294" i="9"/>
  <c r="E300" i="9"/>
  <c r="E301" i="9"/>
  <c r="E302" i="9"/>
  <c r="E303" i="9"/>
  <c r="E307" i="9"/>
  <c r="E308" i="9"/>
  <c r="E312" i="9"/>
  <c r="E313" i="9"/>
  <c r="E314" i="9"/>
  <c r="E320" i="9"/>
  <c r="E321" i="9"/>
  <c r="E322" i="9"/>
  <c r="E323" i="9"/>
  <c r="E327" i="9"/>
  <c r="E328" i="9"/>
  <c r="E332" i="9"/>
  <c r="E333" i="9"/>
  <c r="E334" i="9"/>
  <c r="E340" i="9"/>
  <c r="E341" i="9"/>
  <c r="E342" i="9"/>
  <c r="E343" i="9"/>
  <c r="E347" i="9"/>
  <c r="E348" i="9"/>
  <c r="E352" i="9"/>
  <c r="E353" i="9"/>
  <c r="E354" i="9"/>
  <c r="E360" i="9"/>
  <c r="E361" i="9"/>
  <c r="E362" i="9"/>
  <c r="E363" i="9"/>
  <c r="E367" i="9"/>
  <c r="E368" i="9"/>
  <c r="E372" i="9"/>
  <c r="E373" i="9"/>
  <c r="E374" i="9"/>
  <c r="E380" i="9"/>
  <c r="E381" i="9"/>
  <c r="E382" i="9"/>
  <c r="E383" i="9"/>
  <c r="E387" i="9"/>
  <c r="E388" i="9"/>
  <c r="E392" i="9"/>
  <c r="E393" i="9"/>
  <c r="E394" i="9"/>
  <c r="E400" i="9"/>
  <c r="E401" i="9"/>
  <c r="E402" i="9"/>
  <c r="E403" i="9"/>
  <c r="E407" i="9"/>
  <c r="E408" i="9"/>
  <c r="E412" i="9"/>
  <c r="E413" i="9"/>
  <c r="E414" i="9"/>
  <c r="E420" i="9"/>
  <c r="E421" i="9"/>
  <c r="E422" i="9"/>
  <c r="E427" i="9"/>
  <c r="E428" i="9"/>
  <c r="E432" i="9"/>
  <c r="E433" i="9"/>
  <c r="E434" i="9"/>
  <c r="E440" i="9"/>
  <c r="E441" i="9"/>
  <c r="E442" i="9"/>
  <c r="E443" i="9"/>
  <c r="F3" i="9"/>
  <c r="E3" i="9" s="1"/>
  <c r="F4" i="9"/>
  <c r="E4" i="9" s="1"/>
  <c r="F5" i="9"/>
  <c r="E5" i="9" s="1"/>
  <c r="F6" i="9"/>
  <c r="E6" i="9" s="1"/>
  <c r="F7" i="9"/>
  <c r="F8" i="9"/>
  <c r="F9" i="9"/>
  <c r="F10" i="9"/>
  <c r="E10" i="9" s="1"/>
  <c r="F11" i="9"/>
  <c r="F12" i="9"/>
  <c r="F13" i="9"/>
  <c r="F14" i="9"/>
  <c r="E14" i="9" s="1"/>
  <c r="F15" i="9"/>
  <c r="E15" i="9" s="1"/>
  <c r="F16" i="9"/>
  <c r="E16" i="9" s="1"/>
  <c r="F17" i="9"/>
  <c r="E17" i="9" s="1"/>
  <c r="F18" i="9"/>
  <c r="E18" i="9" s="1"/>
  <c r="F19" i="9"/>
  <c r="E19" i="9" s="1"/>
  <c r="F20" i="9"/>
  <c r="F21" i="9"/>
  <c r="F22" i="9"/>
  <c r="F23" i="9"/>
  <c r="E23" i="9" s="1"/>
  <c r="F24" i="9"/>
  <c r="E24" i="9" s="1"/>
  <c r="F25" i="9"/>
  <c r="E25" i="9" s="1"/>
  <c r="F26" i="9"/>
  <c r="E26" i="9" s="1"/>
  <c r="F27" i="9"/>
  <c r="F28" i="9"/>
  <c r="F29" i="9"/>
  <c r="E29" i="9" s="1"/>
  <c r="F30" i="9"/>
  <c r="E30" i="9" s="1"/>
  <c r="F31" i="9"/>
  <c r="E31" i="9" s="1"/>
  <c r="F32" i="9"/>
  <c r="F33" i="9"/>
  <c r="F34" i="9"/>
  <c r="F35" i="9"/>
  <c r="E35" i="9" s="1"/>
  <c r="F36" i="9"/>
  <c r="E36" i="9" s="1"/>
  <c r="F37" i="9"/>
  <c r="E37" i="9" s="1"/>
  <c r="F38" i="9"/>
  <c r="E38" i="9" s="1"/>
  <c r="F39" i="9"/>
  <c r="E39" i="9" s="1"/>
  <c r="F40" i="9"/>
  <c r="F41" i="9"/>
  <c r="F42" i="9"/>
  <c r="F43" i="9"/>
  <c r="F44" i="9"/>
  <c r="E44" i="9" s="1"/>
  <c r="F45" i="9"/>
  <c r="E45" i="9" s="1"/>
  <c r="F46" i="9"/>
  <c r="E46" i="9" s="1"/>
  <c r="F47" i="9"/>
  <c r="F48" i="9"/>
  <c r="F49" i="9"/>
  <c r="E49" i="9" s="1"/>
  <c r="F50" i="9"/>
  <c r="E50" i="9" s="1"/>
  <c r="F51" i="9"/>
  <c r="E51" i="9" s="1"/>
  <c r="F52" i="9"/>
  <c r="F53" i="9"/>
  <c r="F54" i="9"/>
  <c r="F55" i="9"/>
  <c r="E55" i="9" s="1"/>
  <c r="F56" i="9"/>
  <c r="E56" i="9" s="1"/>
  <c r="F57" i="9"/>
  <c r="E57" i="9" s="1"/>
  <c r="F58" i="9"/>
  <c r="E58" i="9" s="1"/>
  <c r="F59" i="9"/>
  <c r="E59" i="9" s="1"/>
  <c r="F60" i="9"/>
  <c r="F61" i="9"/>
  <c r="F62" i="9"/>
  <c r="F63" i="9"/>
  <c r="F64" i="9"/>
  <c r="E64" i="9" s="1"/>
  <c r="F65" i="9"/>
  <c r="E65" i="9" s="1"/>
  <c r="F66" i="9"/>
  <c r="E66" i="9" s="1"/>
  <c r="F67" i="9"/>
  <c r="F68" i="9"/>
  <c r="F69" i="9"/>
  <c r="E69" i="9" s="1"/>
  <c r="F70" i="9"/>
  <c r="E70" i="9" s="1"/>
  <c r="F71" i="9"/>
  <c r="E71" i="9" s="1"/>
  <c r="F72" i="9"/>
  <c r="F73" i="9"/>
  <c r="F74" i="9"/>
  <c r="F75" i="9"/>
  <c r="E75" i="9" s="1"/>
  <c r="F76" i="9"/>
  <c r="E76" i="9" s="1"/>
  <c r="F77" i="9"/>
  <c r="E77" i="9" s="1"/>
  <c r="F78" i="9"/>
  <c r="E78" i="9" s="1"/>
  <c r="F79" i="9"/>
  <c r="E79" i="9" s="1"/>
  <c r="F80" i="9"/>
  <c r="F81" i="9"/>
  <c r="F82" i="9"/>
  <c r="F83" i="9"/>
  <c r="F84" i="9"/>
  <c r="E84" i="9" s="1"/>
  <c r="F85" i="9"/>
  <c r="E85" i="9" s="1"/>
  <c r="F86" i="9"/>
  <c r="E86" i="9" s="1"/>
  <c r="F87" i="9"/>
  <c r="F88" i="9"/>
  <c r="F89" i="9"/>
  <c r="E89" i="9" s="1"/>
  <c r="F90" i="9"/>
  <c r="E90" i="9" s="1"/>
  <c r="F91" i="9"/>
  <c r="E91" i="9" s="1"/>
  <c r="F92" i="9"/>
  <c r="F93" i="9"/>
  <c r="F94" i="9"/>
  <c r="F95" i="9"/>
  <c r="E95" i="9" s="1"/>
  <c r="F96" i="9"/>
  <c r="E96" i="9" s="1"/>
  <c r="F97" i="9"/>
  <c r="E97" i="9" s="1"/>
  <c r="F98" i="9"/>
  <c r="E98" i="9" s="1"/>
  <c r="F99" i="9"/>
  <c r="E99" i="9" s="1"/>
  <c r="F100" i="9"/>
  <c r="F101" i="9"/>
  <c r="F102" i="9"/>
  <c r="F103" i="9"/>
  <c r="F104" i="9"/>
  <c r="E104" i="9" s="1"/>
  <c r="F105" i="9"/>
  <c r="E105" i="9" s="1"/>
  <c r="F106" i="9"/>
  <c r="E106" i="9" s="1"/>
  <c r="F107" i="9"/>
  <c r="F108" i="9"/>
  <c r="F109" i="9"/>
  <c r="E109" i="9" s="1"/>
  <c r="F110" i="9"/>
  <c r="E110" i="9" s="1"/>
  <c r="F111" i="9"/>
  <c r="E111" i="9" s="1"/>
  <c r="F112" i="9"/>
  <c r="F113" i="9"/>
  <c r="F114" i="9"/>
  <c r="F115" i="9"/>
  <c r="E115" i="9" s="1"/>
  <c r="F116" i="9"/>
  <c r="E116" i="9" s="1"/>
  <c r="F117" i="9"/>
  <c r="E117" i="9" s="1"/>
  <c r="F118" i="9"/>
  <c r="E118" i="9" s="1"/>
  <c r="F119" i="9"/>
  <c r="E119" i="9" s="1"/>
  <c r="F120" i="9"/>
  <c r="F121" i="9"/>
  <c r="F122" i="9"/>
  <c r="F123" i="9"/>
  <c r="F124" i="9"/>
  <c r="E124" i="9" s="1"/>
  <c r="F125" i="9"/>
  <c r="E125" i="9" s="1"/>
  <c r="F126" i="9"/>
  <c r="E126" i="9" s="1"/>
  <c r="F127" i="9"/>
  <c r="F128" i="9"/>
  <c r="F129" i="9"/>
  <c r="E129" i="9" s="1"/>
  <c r="F130" i="9"/>
  <c r="E130" i="9" s="1"/>
  <c r="F131" i="9"/>
  <c r="E131" i="9" s="1"/>
  <c r="F132" i="9"/>
  <c r="F133" i="9"/>
  <c r="F134" i="9"/>
  <c r="F135" i="9"/>
  <c r="E135" i="9" s="1"/>
  <c r="F136" i="9"/>
  <c r="E136" i="9" s="1"/>
  <c r="F137" i="9"/>
  <c r="E137" i="9" s="1"/>
  <c r="F138" i="9"/>
  <c r="E138" i="9" s="1"/>
  <c r="F139" i="9"/>
  <c r="E139" i="9" s="1"/>
  <c r="F140" i="9"/>
  <c r="F141" i="9"/>
  <c r="F142" i="9"/>
  <c r="F143" i="9"/>
  <c r="F144" i="9"/>
  <c r="E144" i="9" s="1"/>
  <c r="F145" i="9"/>
  <c r="E145" i="9" s="1"/>
  <c r="F146" i="9"/>
  <c r="E146" i="9" s="1"/>
  <c r="F147" i="9"/>
  <c r="F148" i="9"/>
  <c r="F149" i="9"/>
  <c r="E149" i="9" s="1"/>
  <c r="F150" i="9"/>
  <c r="E150" i="9" s="1"/>
  <c r="F151" i="9"/>
  <c r="E151" i="9" s="1"/>
  <c r="F152" i="9"/>
  <c r="F153" i="9"/>
  <c r="F154" i="9"/>
  <c r="F155" i="9"/>
  <c r="E155" i="9" s="1"/>
  <c r="F156" i="9"/>
  <c r="E156" i="9" s="1"/>
  <c r="F157" i="9"/>
  <c r="E157" i="9" s="1"/>
  <c r="F158" i="9"/>
  <c r="E158" i="9" s="1"/>
  <c r="F159" i="9"/>
  <c r="E159" i="9" s="1"/>
  <c r="F160" i="9"/>
  <c r="F161" i="9"/>
  <c r="F162" i="9"/>
  <c r="F163" i="9"/>
  <c r="F164" i="9"/>
  <c r="E164" i="9" s="1"/>
  <c r="F165" i="9"/>
  <c r="E165" i="9" s="1"/>
  <c r="F166" i="9"/>
  <c r="E166" i="9" s="1"/>
  <c r="F167" i="9"/>
  <c r="F168" i="9"/>
  <c r="F169" i="9"/>
  <c r="E169" i="9" s="1"/>
  <c r="F170" i="9"/>
  <c r="E170" i="9" s="1"/>
  <c r="F171" i="9"/>
  <c r="E171" i="9" s="1"/>
  <c r="F172" i="9"/>
  <c r="F173" i="9"/>
  <c r="F174" i="9"/>
  <c r="F175" i="9"/>
  <c r="E175" i="9" s="1"/>
  <c r="F176" i="9"/>
  <c r="E176" i="9" s="1"/>
  <c r="F177" i="9"/>
  <c r="E177" i="9" s="1"/>
  <c r="F178" i="9"/>
  <c r="E178" i="9" s="1"/>
  <c r="F179" i="9"/>
  <c r="E179" i="9" s="1"/>
  <c r="F180" i="9"/>
  <c r="F181" i="9"/>
  <c r="F182" i="9"/>
  <c r="F183" i="9"/>
  <c r="F184" i="9"/>
  <c r="E184" i="9" s="1"/>
  <c r="F185" i="9"/>
  <c r="E185" i="9" s="1"/>
  <c r="F186" i="9"/>
  <c r="E186" i="9" s="1"/>
  <c r="F187" i="9"/>
  <c r="F188" i="9"/>
  <c r="F189" i="9"/>
  <c r="E189" i="9" s="1"/>
  <c r="F190" i="9"/>
  <c r="E190" i="9" s="1"/>
  <c r="F191" i="9"/>
  <c r="E191" i="9" s="1"/>
  <c r="F192" i="9"/>
  <c r="F193" i="9"/>
  <c r="F194" i="9"/>
  <c r="F195" i="9"/>
  <c r="E195" i="9" s="1"/>
  <c r="F196" i="9"/>
  <c r="E196" i="9" s="1"/>
  <c r="F197" i="9"/>
  <c r="E197" i="9" s="1"/>
  <c r="F198" i="9"/>
  <c r="E198" i="9" s="1"/>
  <c r="F199" i="9"/>
  <c r="E199" i="9" s="1"/>
  <c r="F200" i="9"/>
  <c r="F201" i="9"/>
  <c r="F202" i="9"/>
  <c r="F203" i="9"/>
  <c r="F204" i="9"/>
  <c r="E204" i="9" s="1"/>
  <c r="F205" i="9"/>
  <c r="E205" i="9" s="1"/>
  <c r="F206" i="9"/>
  <c r="E206" i="9" s="1"/>
  <c r="F207" i="9"/>
  <c r="F208" i="9"/>
  <c r="F209" i="9"/>
  <c r="E209" i="9" s="1"/>
  <c r="F210" i="9"/>
  <c r="E210" i="9" s="1"/>
  <c r="F211" i="9"/>
  <c r="E211" i="9" s="1"/>
  <c r="F212" i="9"/>
  <c r="F213" i="9"/>
  <c r="F214" i="9"/>
  <c r="F215" i="9"/>
  <c r="E215" i="9" s="1"/>
  <c r="F216" i="9"/>
  <c r="E216" i="9" s="1"/>
  <c r="F217" i="9"/>
  <c r="E217" i="9" s="1"/>
  <c r="F218" i="9"/>
  <c r="E218" i="9" s="1"/>
  <c r="F219" i="9"/>
  <c r="E219" i="9" s="1"/>
  <c r="F220" i="9"/>
  <c r="F221" i="9"/>
  <c r="F222" i="9"/>
  <c r="F223" i="9"/>
  <c r="F224" i="9"/>
  <c r="E224" i="9" s="1"/>
  <c r="F225" i="9"/>
  <c r="E225" i="9" s="1"/>
  <c r="F226" i="9"/>
  <c r="E226" i="9" s="1"/>
  <c r="F227" i="9"/>
  <c r="F228" i="9"/>
  <c r="F229" i="9"/>
  <c r="E229" i="9" s="1"/>
  <c r="F230" i="9"/>
  <c r="E230" i="9" s="1"/>
  <c r="F231" i="9"/>
  <c r="E231" i="9" s="1"/>
  <c r="F232" i="9"/>
  <c r="F233" i="9"/>
  <c r="F234" i="9"/>
  <c r="F235" i="9"/>
  <c r="E235" i="9" s="1"/>
  <c r="F236" i="9"/>
  <c r="E236" i="9" s="1"/>
  <c r="F237" i="9"/>
  <c r="E237" i="9" s="1"/>
  <c r="F238" i="9"/>
  <c r="E238" i="9" s="1"/>
  <c r="F239" i="9"/>
  <c r="E239" i="9" s="1"/>
  <c r="F240" i="9"/>
  <c r="F241" i="9"/>
  <c r="F242" i="9"/>
  <c r="F243" i="9"/>
  <c r="F244" i="9"/>
  <c r="E244" i="9" s="1"/>
  <c r="F245" i="9"/>
  <c r="E245" i="9" s="1"/>
  <c r="F246" i="9"/>
  <c r="E246" i="9" s="1"/>
  <c r="F247" i="9"/>
  <c r="F248" i="9"/>
  <c r="F249" i="9"/>
  <c r="E249" i="9" s="1"/>
  <c r="F250" i="9"/>
  <c r="E250" i="9" s="1"/>
  <c r="F251" i="9"/>
  <c r="E251" i="9" s="1"/>
  <c r="F252" i="9"/>
  <c r="F253" i="9"/>
  <c r="F254" i="9"/>
  <c r="F255" i="9"/>
  <c r="E255" i="9" s="1"/>
  <c r="F256" i="9"/>
  <c r="E256" i="9" s="1"/>
  <c r="F257" i="9"/>
  <c r="E257" i="9" s="1"/>
  <c r="F258" i="9"/>
  <c r="E258" i="9" s="1"/>
  <c r="F259" i="9"/>
  <c r="E259" i="9" s="1"/>
  <c r="F260" i="9"/>
  <c r="F261" i="9"/>
  <c r="F262" i="9"/>
  <c r="F263" i="9"/>
  <c r="F264" i="9"/>
  <c r="E264" i="9" s="1"/>
  <c r="F265" i="9"/>
  <c r="E265" i="9" s="1"/>
  <c r="F266" i="9"/>
  <c r="E266" i="9" s="1"/>
  <c r="F267" i="9"/>
  <c r="F268" i="9"/>
  <c r="F269" i="9"/>
  <c r="E269" i="9" s="1"/>
  <c r="F270" i="9"/>
  <c r="E270" i="9" s="1"/>
  <c r="F271" i="9"/>
  <c r="E271" i="9" s="1"/>
  <c r="F272" i="9"/>
  <c r="F273" i="9"/>
  <c r="F274" i="9"/>
  <c r="F275" i="9"/>
  <c r="E275" i="9" s="1"/>
  <c r="F276" i="9"/>
  <c r="E276" i="9" s="1"/>
  <c r="F277" i="9"/>
  <c r="E277" i="9" s="1"/>
  <c r="F278" i="9"/>
  <c r="E278" i="9" s="1"/>
  <c r="F279" i="9"/>
  <c r="E279" i="9" s="1"/>
  <c r="F280" i="9"/>
  <c r="F281" i="9"/>
  <c r="F282" i="9"/>
  <c r="F283" i="9"/>
  <c r="F284" i="9"/>
  <c r="E284" i="9" s="1"/>
  <c r="F285" i="9"/>
  <c r="E285" i="9" s="1"/>
  <c r="F286" i="9"/>
  <c r="E286" i="9" s="1"/>
  <c r="F287" i="9"/>
  <c r="F288" i="9"/>
  <c r="F289" i="9"/>
  <c r="E289" i="9" s="1"/>
  <c r="F290" i="9"/>
  <c r="E290" i="9" s="1"/>
  <c r="F291" i="9"/>
  <c r="E291" i="9" s="1"/>
  <c r="F292" i="9"/>
  <c r="F293" i="9"/>
  <c r="F294" i="9"/>
  <c r="F295" i="9"/>
  <c r="E295" i="9" s="1"/>
  <c r="F296" i="9"/>
  <c r="E296" i="9" s="1"/>
  <c r="F297" i="9"/>
  <c r="E297" i="9" s="1"/>
  <c r="F298" i="9"/>
  <c r="E298" i="9" s="1"/>
  <c r="F299" i="9"/>
  <c r="E299" i="9" s="1"/>
  <c r="F300" i="9"/>
  <c r="F301" i="9"/>
  <c r="F302" i="9"/>
  <c r="F303" i="9"/>
  <c r="F304" i="9"/>
  <c r="E304" i="9" s="1"/>
  <c r="F305" i="9"/>
  <c r="E305" i="9" s="1"/>
  <c r="F306" i="9"/>
  <c r="E306" i="9" s="1"/>
  <c r="F307" i="9"/>
  <c r="F308" i="9"/>
  <c r="F309" i="9"/>
  <c r="E309" i="9" s="1"/>
  <c r="F310" i="9"/>
  <c r="E310" i="9" s="1"/>
  <c r="F311" i="9"/>
  <c r="E311" i="9" s="1"/>
  <c r="F312" i="9"/>
  <c r="F313" i="9"/>
  <c r="F314" i="9"/>
  <c r="F315" i="9"/>
  <c r="E315" i="9" s="1"/>
  <c r="F316" i="9"/>
  <c r="E316" i="9" s="1"/>
  <c r="F317" i="9"/>
  <c r="E317" i="9" s="1"/>
  <c r="F318" i="9"/>
  <c r="E318" i="9" s="1"/>
  <c r="F319" i="9"/>
  <c r="E319" i="9" s="1"/>
  <c r="F320" i="9"/>
  <c r="F321" i="9"/>
  <c r="F322" i="9"/>
  <c r="F323" i="9"/>
  <c r="F324" i="9"/>
  <c r="E324" i="9" s="1"/>
  <c r="F325" i="9"/>
  <c r="E325" i="9" s="1"/>
  <c r="F326" i="9"/>
  <c r="E326" i="9" s="1"/>
  <c r="F327" i="9"/>
  <c r="F328" i="9"/>
  <c r="F329" i="9"/>
  <c r="E329" i="9" s="1"/>
  <c r="F330" i="9"/>
  <c r="E330" i="9" s="1"/>
  <c r="F331" i="9"/>
  <c r="E331" i="9" s="1"/>
  <c r="F332" i="9"/>
  <c r="F333" i="9"/>
  <c r="F334" i="9"/>
  <c r="F335" i="9"/>
  <c r="E335" i="9" s="1"/>
  <c r="F336" i="9"/>
  <c r="E336" i="9" s="1"/>
  <c r="F337" i="9"/>
  <c r="E337" i="9" s="1"/>
  <c r="F338" i="9"/>
  <c r="E338" i="9" s="1"/>
  <c r="F339" i="9"/>
  <c r="E339" i="9" s="1"/>
  <c r="F340" i="9"/>
  <c r="F341" i="9"/>
  <c r="F342" i="9"/>
  <c r="F343" i="9"/>
  <c r="F344" i="9"/>
  <c r="E344" i="9" s="1"/>
  <c r="F345" i="9"/>
  <c r="E345" i="9" s="1"/>
  <c r="F346" i="9"/>
  <c r="E346" i="9" s="1"/>
  <c r="F347" i="9"/>
  <c r="F348" i="9"/>
  <c r="F349" i="9"/>
  <c r="E349" i="9" s="1"/>
  <c r="F350" i="9"/>
  <c r="E350" i="9" s="1"/>
  <c r="F351" i="9"/>
  <c r="E351" i="9" s="1"/>
  <c r="F352" i="9"/>
  <c r="F353" i="9"/>
  <c r="F354" i="9"/>
  <c r="F355" i="9"/>
  <c r="E355" i="9" s="1"/>
  <c r="F356" i="9"/>
  <c r="E356" i="9" s="1"/>
  <c r="F357" i="9"/>
  <c r="E357" i="9" s="1"/>
  <c r="F358" i="9"/>
  <c r="E358" i="9" s="1"/>
  <c r="F359" i="9"/>
  <c r="E359" i="9" s="1"/>
  <c r="F360" i="9"/>
  <c r="F361" i="9"/>
  <c r="F362" i="9"/>
  <c r="F363" i="9"/>
  <c r="F364" i="9"/>
  <c r="E364" i="9" s="1"/>
  <c r="F365" i="9"/>
  <c r="E365" i="9" s="1"/>
  <c r="F366" i="9"/>
  <c r="E366" i="9" s="1"/>
  <c r="F367" i="9"/>
  <c r="F368" i="9"/>
  <c r="F369" i="9"/>
  <c r="E369" i="9" s="1"/>
  <c r="F370" i="9"/>
  <c r="E370" i="9" s="1"/>
  <c r="F371" i="9"/>
  <c r="E371" i="9" s="1"/>
  <c r="F372" i="9"/>
  <c r="F373" i="9"/>
  <c r="F374" i="9"/>
  <c r="F375" i="9"/>
  <c r="E375" i="9" s="1"/>
  <c r="F376" i="9"/>
  <c r="E376" i="9" s="1"/>
  <c r="F377" i="9"/>
  <c r="E377" i="9" s="1"/>
  <c r="F378" i="9"/>
  <c r="E378" i="9" s="1"/>
  <c r="F379" i="9"/>
  <c r="E379" i="9" s="1"/>
  <c r="F380" i="9"/>
  <c r="F381" i="9"/>
  <c r="F382" i="9"/>
  <c r="F383" i="9"/>
  <c r="F384" i="9"/>
  <c r="E384" i="9" s="1"/>
  <c r="F385" i="9"/>
  <c r="E385" i="9" s="1"/>
  <c r="F386" i="9"/>
  <c r="E386" i="9" s="1"/>
  <c r="F387" i="9"/>
  <c r="F388" i="9"/>
  <c r="F389" i="9"/>
  <c r="E389" i="9" s="1"/>
  <c r="F390" i="9"/>
  <c r="E390" i="9" s="1"/>
  <c r="F391" i="9"/>
  <c r="E391" i="9" s="1"/>
  <c r="F392" i="9"/>
  <c r="F393" i="9"/>
  <c r="F394" i="9"/>
  <c r="F395" i="9"/>
  <c r="E395" i="9" s="1"/>
  <c r="F396" i="9"/>
  <c r="E396" i="9" s="1"/>
  <c r="F397" i="9"/>
  <c r="E397" i="9" s="1"/>
  <c r="F398" i="9"/>
  <c r="E398" i="9" s="1"/>
  <c r="F399" i="9"/>
  <c r="E399" i="9" s="1"/>
  <c r="F400" i="9"/>
  <c r="F401" i="9"/>
  <c r="F402" i="9"/>
  <c r="F403" i="9"/>
  <c r="F404" i="9"/>
  <c r="E404" i="9" s="1"/>
  <c r="F405" i="9"/>
  <c r="E405" i="9" s="1"/>
  <c r="F406" i="9"/>
  <c r="E406" i="9" s="1"/>
  <c r="F407" i="9"/>
  <c r="F408" i="9"/>
  <c r="F409" i="9"/>
  <c r="E409" i="9" s="1"/>
  <c r="F410" i="9"/>
  <c r="E410" i="9" s="1"/>
  <c r="F411" i="9"/>
  <c r="E411" i="9" s="1"/>
  <c r="F412" i="9"/>
  <c r="F413" i="9"/>
  <c r="F414" i="9"/>
  <c r="F415" i="9"/>
  <c r="E415" i="9" s="1"/>
  <c r="F416" i="9"/>
  <c r="E416" i="9" s="1"/>
  <c r="F417" i="9"/>
  <c r="E417" i="9" s="1"/>
  <c r="F418" i="9"/>
  <c r="E418" i="9" s="1"/>
  <c r="F419" i="9"/>
  <c r="E419" i="9" s="1"/>
  <c r="F420" i="9"/>
  <c r="F421" i="9"/>
  <c r="F422" i="9"/>
  <c r="F423" i="9"/>
  <c r="E423" i="9" s="1"/>
  <c r="F424" i="9"/>
  <c r="E424" i="9" s="1"/>
  <c r="F425" i="9"/>
  <c r="E425" i="9" s="1"/>
  <c r="F426" i="9"/>
  <c r="E426" i="9" s="1"/>
  <c r="F427" i="9"/>
  <c r="F428" i="9"/>
  <c r="F429" i="9"/>
  <c r="E429" i="9" s="1"/>
  <c r="F430" i="9"/>
  <c r="E430" i="9" s="1"/>
  <c r="F431" i="9"/>
  <c r="E431" i="9" s="1"/>
  <c r="F432" i="9"/>
  <c r="F433" i="9"/>
  <c r="F434" i="9"/>
  <c r="F435" i="9"/>
  <c r="E435" i="9" s="1"/>
  <c r="F436" i="9"/>
  <c r="E436" i="9" s="1"/>
  <c r="F437" i="9"/>
  <c r="E437" i="9" s="1"/>
  <c r="F438" i="9"/>
  <c r="E438" i="9" s="1"/>
  <c r="F439" i="9"/>
  <c r="E439" i="9" s="1"/>
  <c r="F440" i="9"/>
  <c r="F441" i="9"/>
  <c r="F442" i="9"/>
  <c r="F443" i="9"/>
  <c r="F444" i="9"/>
  <c r="E444" i="9" s="1"/>
  <c r="F2" i="9"/>
  <c r="E2" i="9" s="1"/>
  <c r="N548" i="4"/>
  <c r="L548" i="4"/>
  <c r="M548" i="4" s="1"/>
  <c r="K548" i="4"/>
  <c r="J548" i="4"/>
  <c r="I548" i="4"/>
  <c r="N547" i="4"/>
  <c r="L547" i="4"/>
  <c r="M547" i="4" s="1"/>
  <c r="K547" i="4"/>
  <c r="J547" i="4"/>
  <c r="I547" i="4"/>
  <c r="N546" i="4"/>
  <c r="M546" i="4"/>
  <c r="L546" i="4"/>
  <c r="K546" i="4"/>
  <c r="J546" i="4"/>
  <c r="I546" i="4"/>
  <c r="N545" i="4"/>
  <c r="L545" i="4"/>
  <c r="M545" i="4" s="1"/>
  <c r="K545" i="4"/>
  <c r="J545" i="4"/>
  <c r="I545" i="4"/>
  <c r="N544" i="4"/>
  <c r="L544" i="4"/>
  <c r="M544" i="4" s="1"/>
  <c r="K544" i="4"/>
  <c r="J544" i="4"/>
  <c r="I544" i="4"/>
  <c r="N543" i="4"/>
  <c r="M543" i="4"/>
  <c r="L543" i="4"/>
  <c r="K543" i="4"/>
  <c r="J543" i="4"/>
  <c r="I543" i="4"/>
  <c r="N542" i="4"/>
  <c r="M542" i="4"/>
  <c r="L542" i="4"/>
  <c r="K542" i="4"/>
  <c r="J542" i="4"/>
  <c r="I542" i="4"/>
  <c r="N541" i="4"/>
  <c r="L541" i="4"/>
  <c r="M541" i="4" s="1"/>
  <c r="K541" i="4"/>
  <c r="J541" i="4"/>
  <c r="I541" i="4"/>
  <c r="N540" i="4"/>
  <c r="L540" i="4"/>
  <c r="M540" i="4" s="1"/>
  <c r="K540" i="4"/>
  <c r="J540" i="4"/>
  <c r="I540" i="4"/>
  <c r="N539" i="4"/>
  <c r="M539" i="4"/>
  <c r="L539" i="4"/>
  <c r="K539" i="4"/>
  <c r="J539" i="4"/>
  <c r="I539" i="4"/>
  <c r="N538" i="4"/>
  <c r="L538" i="4"/>
  <c r="M538" i="4" s="1"/>
  <c r="K538" i="4"/>
  <c r="J538" i="4"/>
  <c r="I538" i="4"/>
  <c r="N537" i="4"/>
  <c r="L537" i="4"/>
  <c r="M537" i="4" s="1"/>
  <c r="K537" i="4"/>
  <c r="J537" i="4"/>
  <c r="I537" i="4"/>
  <c r="N536" i="4"/>
  <c r="M536" i="4"/>
  <c r="L536" i="4"/>
  <c r="K536" i="4"/>
  <c r="J536" i="4"/>
  <c r="I536" i="4"/>
  <c r="N535" i="4"/>
  <c r="L535" i="4"/>
  <c r="M535" i="4" s="1"/>
  <c r="K535" i="4"/>
  <c r="J535" i="4"/>
  <c r="I535" i="4"/>
  <c r="N534" i="4"/>
  <c r="L534" i="4"/>
  <c r="M534" i="4" s="1"/>
  <c r="K534" i="4"/>
  <c r="J534" i="4"/>
  <c r="I534" i="4"/>
  <c r="N533" i="4"/>
  <c r="M533" i="4"/>
  <c r="L533" i="4"/>
  <c r="K533" i="4"/>
  <c r="J533" i="4"/>
  <c r="I533" i="4"/>
  <c r="N532" i="4"/>
  <c r="M532" i="4"/>
  <c r="L532" i="4"/>
  <c r="K532" i="4"/>
  <c r="J532" i="4"/>
  <c r="I532" i="4"/>
  <c r="N531" i="4"/>
  <c r="L531" i="4"/>
  <c r="M531" i="4" s="1"/>
  <c r="K531" i="4"/>
  <c r="J531" i="4"/>
  <c r="I531" i="4"/>
  <c r="N530" i="4"/>
  <c r="L530" i="4"/>
  <c r="M530" i="4" s="1"/>
  <c r="K530" i="4"/>
  <c r="J530" i="4"/>
  <c r="I530" i="4"/>
  <c r="N529" i="4"/>
  <c r="M529" i="4"/>
  <c r="L529" i="4"/>
  <c r="K529" i="4"/>
  <c r="J529" i="4"/>
  <c r="I529" i="4"/>
  <c r="N528" i="4"/>
  <c r="L528" i="4"/>
  <c r="M528" i="4" s="1"/>
  <c r="K528" i="4"/>
  <c r="J528" i="4"/>
  <c r="I528" i="4"/>
  <c r="N527" i="4"/>
  <c r="L527" i="4"/>
  <c r="M527" i="4" s="1"/>
  <c r="K527" i="4"/>
  <c r="J527" i="4"/>
  <c r="I527" i="4"/>
  <c r="N526" i="4"/>
  <c r="M526" i="4"/>
  <c r="L526" i="4"/>
  <c r="K526" i="4"/>
  <c r="J526" i="4"/>
  <c r="I526" i="4"/>
  <c r="N525" i="4"/>
  <c r="L525" i="4"/>
  <c r="M525" i="4" s="1"/>
  <c r="K525" i="4"/>
  <c r="J525" i="4"/>
  <c r="I525" i="4"/>
  <c r="N524" i="4"/>
  <c r="L524" i="4"/>
  <c r="M524" i="4" s="1"/>
  <c r="K524" i="4"/>
  <c r="J524" i="4"/>
  <c r="I524" i="4"/>
  <c r="N523" i="4"/>
  <c r="M523" i="4"/>
  <c r="L523" i="4"/>
  <c r="K523" i="4"/>
  <c r="J523" i="4"/>
  <c r="I523" i="4"/>
  <c r="N522" i="4"/>
  <c r="M522" i="4"/>
  <c r="L522" i="4"/>
  <c r="K522" i="4"/>
  <c r="J522" i="4"/>
  <c r="I522" i="4"/>
  <c r="N521" i="4"/>
  <c r="L521" i="4"/>
  <c r="M521" i="4" s="1"/>
  <c r="K521" i="4"/>
  <c r="J521" i="4"/>
  <c r="I521" i="4"/>
  <c r="N520" i="4"/>
  <c r="L520" i="4"/>
  <c r="M520" i="4" s="1"/>
  <c r="K520" i="4"/>
  <c r="J520" i="4"/>
  <c r="I520" i="4"/>
  <c r="N519" i="4"/>
  <c r="M519" i="4"/>
  <c r="L519" i="4"/>
  <c r="K519" i="4"/>
  <c r="J519" i="4"/>
  <c r="I519" i="4"/>
  <c r="N518" i="4"/>
  <c r="L518" i="4"/>
  <c r="M518" i="4" s="1"/>
  <c r="K518" i="4"/>
  <c r="J518" i="4"/>
  <c r="I518" i="4"/>
  <c r="N517" i="4"/>
  <c r="L517" i="4"/>
  <c r="M517" i="4" s="1"/>
  <c r="K517" i="4"/>
  <c r="J517" i="4"/>
  <c r="I517" i="4"/>
  <c r="N516" i="4"/>
  <c r="M516" i="4"/>
  <c r="L516" i="4"/>
  <c r="K516" i="4"/>
  <c r="J516" i="4"/>
  <c r="I516" i="4"/>
  <c r="N515" i="4"/>
  <c r="L515" i="4"/>
  <c r="M515" i="4" s="1"/>
  <c r="K515" i="4"/>
  <c r="J515" i="4"/>
  <c r="I515" i="4"/>
  <c r="N514" i="4"/>
  <c r="L514" i="4"/>
  <c r="M514" i="4" s="1"/>
  <c r="K514" i="4"/>
  <c r="J514" i="4"/>
  <c r="I514" i="4"/>
  <c r="N513" i="4"/>
  <c r="M513" i="4"/>
  <c r="L513" i="4"/>
  <c r="K513" i="4"/>
  <c r="J513" i="4"/>
  <c r="I513" i="4"/>
  <c r="N512" i="4"/>
  <c r="M512" i="4"/>
  <c r="L512" i="4"/>
  <c r="K512" i="4"/>
  <c r="J512" i="4"/>
  <c r="I512" i="4"/>
  <c r="N511" i="4"/>
  <c r="L511" i="4"/>
  <c r="M511" i="4" s="1"/>
  <c r="K511" i="4"/>
  <c r="J511" i="4"/>
  <c r="I511" i="4"/>
  <c r="N510" i="4"/>
  <c r="L510" i="4"/>
  <c r="M510" i="4" s="1"/>
  <c r="K510" i="4"/>
  <c r="J510" i="4"/>
  <c r="I510" i="4"/>
  <c r="N509" i="4"/>
  <c r="M509" i="4"/>
  <c r="L509" i="4"/>
  <c r="K509" i="4"/>
  <c r="J509" i="4"/>
  <c r="I509" i="4"/>
  <c r="N508" i="4"/>
  <c r="L508" i="4"/>
  <c r="M508" i="4" s="1"/>
  <c r="K508" i="4"/>
  <c r="J508" i="4"/>
  <c r="I508" i="4"/>
  <c r="N507" i="4"/>
  <c r="L507" i="4"/>
  <c r="M507" i="4" s="1"/>
  <c r="K507" i="4"/>
  <c r="J507" i="4"/>
  <c r="I507" i="4"/>
  <c r="N506" i="4"/>
  <c r="M506" i="4"/>
  <c r="L506" i="4"/>
  <c r="K506" i="4"/>
  <c r="J506" i="4"/>
  <c r="I506" i="4"/>
  <c r="N505" i="4"/>
  <c r="L505" i="4"/>
  <c r="M505" i="4" s="1"/>
  <c r="K505" i="4"/>
  <c r="J505" i="4"/>
  <c r="I505" i="4"/>
  <c r="N504" i="4"/>
  <c r="L504" i="4"/>
  <c r="M504" i="4" s="1"/>
  <c r="K504" i="4"/>
  <c r="J504" i="4"/>
  <c r="I504" i="4"/>
  <c r="N503" i="4"/>
  <c r="M503" i="4"/>
  <c r="L503" i="4"/>
  <c r="K503" i="4"/>
  <c r="J503" i="4"/>
  <c r="I503" i="4"/>
  <c r="N502" i="4"/>
  <c r="M502" i="4"/>
  <c r="L502" i="4"/>
  <c r="K502" i="4"/>
  <c r="J502" i="4"/>
  <c r="I502" i="4"/>
  <c r="N501" i="4"/>
  <c r="L501" i="4"/>
  <c r="M501" i="4" s="1"/>
  <c r="K501" i="4"/>
  <c r="J501" i="4"/>
  <c r="I501" i="4"/>
  <c r="N500" i="4"/>
  <c r="L500" i="4"/>
  <c r="M500" i="4" s="1"/>
  <c r="K500" i="4"/>
  <c r="J500" i="4"/>
  <c r="I500" i="4"/>
  <c r="N499" i="4"/>
  <c r="M499" i="4"/>
  <c r="L499" i="4"/>
  <c r="K499" i="4"/>
  <c r="J499" i="4"/>
  <c r="I499" i="4"/>
  <c r="N498" i="4"/>
  <c r="L498" i="4"/>
  <c r="M498" i="4" s="1"/>
  <c r="K498" i="4"/>
  <c r="J498" i="4"/>
  <c r="I498" i="4"/>
  <c r="N497" i="4"/>
  <c r="L497" i="4"/>
  <c r="M497" i="4" s="1"/>
  <c r="K497" i="4"/>
  <c r="J497" i="4"/>
  <c r="I497" i="4"/>
  <c r="N496" i="4"/>
  <c r="M496" i="4"/>
  <c r="L496" i="4"/>
  <c r="K496" i="4"/>
  <c r="J496" i="4"/>
  <c r="I496" i="4"/>
  <c r="N495" i="4"/>
  <c r="L495" i="4"/>
  <c r="M495" i="4" s="1"/>
  <c r="K495" i="4"/>
  <c r="J495" i="4"/>
  <c r="I495" i="4"/>
  <c r="N494" i="4"/>
  <c r="L494" i="4"/>
  <c r="M494" i="4" s="1"/>
  <c r="K494" i="4"/>
  <c r="J494" i="4"/>
  <c r="I494" i="4"/>
  <c r="N493" i="4"/>
  <c r="M493" i="4"/>
  <c r="L493" i="4"/>
  <c r="K493" i="4"/>
  <c r="J493" i="4"/>
  <c r="I493" i="4"/>
  <c r="N492" i="4"/>
  <c r="M492" i="4"/>
  <c r="L492" i="4"/>
  <c r="K492" i="4"/>
  <c r="J492" i="4"/>
  <c r="I492" i="4"/>
  <c r="N491" i="4"/>
  <c r="L491" i="4"/>
  <c r="M491" i="4" s="1"/>
  <c r="K491" i="4"/>
  <c r="J491" i="4"/>
  <c r="I491" i="4"/>
  <c r="N490" i="4"/>
  <c r="L490" i="4"/>
  <c r="M490" i="4" s="1"/>
  <c r="K490" i="4"/>
  <c r="J490" i="4"/>
  <c r="I490" i="4"/>
  <c r="N489" i="4"/>
  <c r="M489" i="4"/>
  <c r="L489" i="4"/>
  <c r="K489" i="4"/>
  <c r="J489" i="4"/>
  <c r="I489" i="4"/>
  <c r="N488" i="4"/>
  <c r="L488" i="4"/>
  <c r="M488" i="4" s="1"/>
  <c r="K488" i="4"/>
  <c r="J488" i="4"/>
  <c r="I488" i="4"/>
  <c r="N487" i="4"/>
  <c r="L487" i="4"/>
  <c r="M487" i="4" s="1"/>
  <c r="K487" i="4"/>
  <c r="J487" i="4"/>
  <c r="I487" i="4"/>
  <c r="N486" i="4"/>
  <c r="M486" i="4"/>
  <c r="L486" i="4"/>
  <c r="K486" i="4"/>
  <c r="J486" i="4"/>
  <c r="I486" i="4"/>
  <c r="N485" i="4"/>
  <c r="L485" i="4"/>
  <c r="M485" i="4" s="1"/>
  <c r="K485" i="4"/>
  <c r="J485" i="4"/>
  <c r="I485" i="4"/>
  <c r="N484" i="4"/>
  <c r="L484" i="4"/>
  <c r="M484" i="4" s="1"/>
  <c r="K484" i="4"/>
  <c r="J484" i="4"/>
  <c r="I484" i="4"/>
  <c r="N483" i="4"/>
  <c r="M483" i="4"/>
  <c r="L483" i="4"/>
  <c r="K483" i="4"/>
  <c r="J483" i="4"/>
  <c r="I483" i="4"/>
  <c r="N482" i="4"/>
  <c r="M482" i="4"/>
  <c r="L482" i="4"/>
  <c r="K482" i="4"/>
  <c r="J482" i="4"/>
  <c r="I482" i="4"/>
  <c r="N481" i="4"/>
  <c r="L481" i="4"/>
  <c r="M481" i="4" s="1"/>
  <c r="K481" i="4"/>
  <c r="J481" i="4"/>
  <c r="I481" i="4"/>
  <c r="N480" i="4"/>
  <c r="L480" i="4"/>
  <c r="M480" i="4" s="1"/>
  <c r="K480" i="4"/>
  <c r="J480" i="4"/>
  <c r="I480" i="4"/>
  <c r="N479" i="4"/>
  <c r="M479" i="4"/>
  <c r="L479" i="4"/>
  <c r="K479" i="4"/>
  <c r="J479" i="4"/>
  <c r="I479" i="4"/>
  <c r="N478" i="4"/>
  <c r="L478" i="4"/>
  <c r="M478" i="4" s="1"/>
  <c r="K478" i="4"/>
  <c r="J478" i="4"/>
  <c r="I478" i="4"/>
  <c r="N477" i="4"/>
  <c r="L477" i="4"/>
  <c r="M477" i="4" s="1"/>
  <c r="K477" i="4"/>
  <c r="J477" i="4"/>
  <c r="I477" i="4"/>
  <c r="N476" i="4"/>
  <c r="M476" i="4"/>
  <c r="L476" i="4"/>
  <c r="K476" i="4"/>
  <c r="J476" i="4"/>
  <c r="I476" i="4"/>
  <c r="N475" i="4"/>
  <c r="L475" i="4"/>
  <c r="M475" i="4" s="1"/>
  <c r="K475" i="4"/>
  <c r="J475" i="4"/>
  <c r="I475" i="4"/>
  <c r="N474" i="4"/>
  <c r="L474" i="4"/>
  <c r="M474" i="4" s="1"/>
  <c r="K474" i="4"/>
  <c r="J474" i="4"/>
  <c r="I474" i="4"/>
  <c r="N473" i="4"/>
  <c r="M473" i="4"/>
  <c r="L473" i="4"/>
  <c r="K473" i="4"/>
  <c r="J473" i="4"/>
  <c r="I473" i="4"/>
  <c r="N472" i="4"/>
  <c r="M472" i="4"/>
  <c r="L472" i="4"/>
  <c r="K472" i="4"/>
  <c r="J472" i="4"/>
  <c r="I472" i="4"/>
  <c r="N471" i="4"/>
  <c r="L471" i="4"/>
  <c r="M471" i="4" s="1"/>
  <c r="K471" i="4"/>
  <c r="J471" i="4"/>
  <c r="I471" i="4"/>
  <c r="N470" i="4"/>
  <c r="L470" i="4"/>
  <c r="M470" i="4" s="1"/>
  <c r="K470" i="4"/>
  <c r="J470" i="4"/>
  <c r="I470" i="4"/>
  <c r="N469" i="4"/>
  <c r="M469" i="4"/>
  <c r="L469" i="4"/>
  <c r="K469" i="4"/>
  <c r="J469" i="4"/>
  <c r="I469" i="4"/>
  <c r="N468" i="4"/>
  <c r="L468" i="4"/>
  <c r="M468" i="4" s="1"/>
  <c r="K468" i="4"/>
  <c r="J468" i="4"/>
  <c r="I468" i="4"/>
  <c r="N467" i="4"/>
  <c r="L467" i="4"/>
  <c r="M467" i="4" s="1"/>
  <c r="K467" i="4"/>
  <c r="J467" i="4"/>
  <c r="I467" i="4"/>
  <c r="N466" i="4"/>
  <c r="M466" i="4"/>
  <c r="L466" i="4"/>
  <c r="K466" i="4"/>
  <c r="J466" i="4"/>
  <c r="I466" i="4"/>
  <c r="N465" i="4"/>
  <c r="L465" i="4"/>
  <c r="M465" i="4" s="1"/>
  <c r="K465" i="4"/>
  <c r="J465" i="4"/>
  <c r="I465" i="4"/>
  <c r="N464" i="4"/>
  <c r="L464" i="4"/>
  <c r="M464" i="4" s="1"/>
  <c r="K464" i="4"/>
  <c r="J464" i="4"/>
  <c r="I464" i="4"/>
  <c r="N463" i="4"/>
  <c r="M463" i="4"/>
  <c r="L463" i="4"/>
  <c r="K463" i="4"/>
  <c r="J463" i="4"/>
  <c r="I463" i="4"/>
  <c r="N462" i="4"/>
  <c r="M462" i="4"/>
  <c r="L462" i="4"/>
  <c r="K462" i="4"/>
  <c r="J462" i="4"/>
  <c r="I462" i="4"/>
  <c r="N461" i="4"/>
  <c r="L461" i="4"/>
  <c r="M461" i="4" s="1"/>
  <c r="K461" i="4"/>
  <c r="J461" i="4"/>
  <c r="I461" i="4"/>
  <c r="N460" i="4"/>
  <c r="L460" i="4"/>
  <c r="M460" i="4" s="1"/>
  <c r="K460" i="4"/>
  <c r="J460" i="4"/>
  <c r="I460" i="4"/>
  <c r="N459" i="4"/>
  <c r="M459" i="4"/>
  <c r="L459" i="4"/>
  <c r="K459" i="4"/>
  <c r="J459" i="4"/>
  <c r="I459" i="4"/>
  <c r="N458" i="4"/>
  <c r="L458" i="4"/>
  <c r="M458" i="4" s="1"/>
  <c r="K458" i="4"/>
  <c r="J458" i="4"/>
  <c r="I458" i="4"/>
  <c r="N457" i="4"/>
  <c r="L457" i="4"/>
  <c r="M457" i="4" s="1"/>
  <c r="K457" i="4"/>
  <c r="J457" i="4"/>
  <c r="I457" i="4"/>
  <c r="N456" i="4"/>
  <c r="M456" i="4"/>
  <c r="L456" i="4"/>
  <c r="K456" i="4"/>
  <c r="J456" i="4"/>
  <c r="I456" i="4"/>
  <c r="N455" i="4"/>
  <c r="L455" i="4"/>
  <c r="M455" i="4" s="1"/>
  <c r="K455" i="4"/>
  <c r="J455" i="4"/>
  <c r="I455" i="4"/>
  <c r="N454" i="4"/>
  <c r="L454" i="4"/>
  <c r="M454" i="4" s="1"/>
  <c r="K454" i="4"/>
  <c r="J454" i="4"/>
  <c r="I454" i="4"/>
  <c r="N453" i="4"/>
  <c r="M453" i="4"/>
  <c r="L453" i="4"/>
  <c r="K453" i="4"/>
  <c r="J453" i="4"/>
  <c r="I453" i="4"/>
  <c r="N452" i="4"/>
  <c r="M452" i="4"/>
  <c r="L452" i="4"/>
  <c r="K452" i="4"/>
  <c r="J452" i="4"/>
  <c r="I452" i="4"/>
  <c r="N451" i="4"/>
  <c r="L451" i="4"/>
  <c r="M451" i="4" s="1"/>
  <c r="K451" i="4"/>
  <c r="J451" i="4"/>
  <c r="I451" i="4"/>
  <c r="N450" i="4"/>
  <c r="L450" i="4"/>
  <c r="M450" i="4" s="1"/>
  <c r="K450" i="4"/>
  <c r="J450" i="4"/>
  <c r="I450" i="4"/>
  <c r="N449" i="4"/>
  <c r="M449" i="4"/>
  <c r="L449" i="4"/>
  <c r="K449" i="4"/>
  <c r="J449" i="4"/>
  <c r="I449" i="4"/>
  <c r="N448" i="4"/>
  <c r="L448" i="4"/>
  <c r="M448" i="4" s="1"/>
  <c r="K448" i="4"/>
  <c r="J448" i="4"/>
  <c r="I448" i="4"/>
  <c r="N447" i="4"/>
  <c r="L447" i="4"/>
  <c r="M447" i="4" s="1"/>
  <c r="K447" i="4"/>
  <c r="J447" i="4"/>
  <c r="I447" i="4"/>
  <c r="N446" i="4"/>
  <c r="M446" i="4"/>
  <c r="L446" i="4"/>
  <c r="K446" i="4"/>
  <c r="J446" i="4"/>
  <c r="I446" i="4"/>
  <c r="N445" i="4"/>
  <c r="L445" i="4"/>
  <c r="M445" i="4" s="1"/>
  <c r="K445" i="4"/>
  <c r="J445" i="4"/>
  <c r="I445" i="4"/>
  <c r="N444" i="4"/>
  <c r="L444" i="4"/>
  <c r="M444" i="4" s="1"/>
  <c r="K444" i="4"/>
  <c r="J444" i="4"/>
  <c r="I444" i="4"/>
  <c r="N443" i="4"/>
  <c r="M443" i="4"/>
  <c r="L443" i="4"/>
  <c r="K443" i="4"/>
  <c r="J443" i="4"/>
  <c r="I443" i="4"/>
  <c r="N442" i="4"/>
  <c r="M442" i="4"/>
  <c r="L442" i="4"/>
  <c r="K442" i="4"/>
  <c r="J442" i="4"/>
  <c r="I442" i="4"/>
  <c r="N441" i="4"/>
  <c r="L441" i="4"/>
  <c r="M441" i="4" s="1"/>
  <c r="K441" i="4"/>
  <c r="J441" i="4"/>
  <c r="I441" i="4"/>
  <c r="N440" i="4"/>
  <c r="L440" i="4"/>
  <c r="M440" i="4" s="1"/>
  <c r="K440" i="4"/>
  <c r="J440" i="4"/>
  <c r="I440" i="4"/>
  <c r="N439" i="4"/>
  <c r="M439" i="4"/>
  <c r="L439" i="4"/>
  <c r="K439" i="4"/>
  <c r="J439" i="4"/>
  <c r="I439" i="4"/>
  <c r="N438" i="4"/>
  <c r="L438" i="4"/>
  <c r="M438" i="4" s="1"/>
  <c r="K438" i="4"/>
  <c r="J438" i="4"/>
  <c r="I438" i="4"/>
  <c r="N437" i="4"/>
  <c r="L437" i="4"/>
  <c r="M437" i="4" s="1"/>
  <c r="K437" i="4"/>
  <c r="J437" i="4"/>
  <c r="I437" i="4"/>
  <c r="N436" i="4"/>
  <c r="M436" i="4"/>
  <c r="L436" i="4"/>
  <c r="K436" i="4"/>
  <c r="J436" i="4"/>
  <c r="I436" i="4"/>
  <c r="N435" i="4"/>
  <c r="L435" i="4"/>
  <c r="M435" i="4" s="1"/>
  <c r="K435" i="4"/>
  <c r="J435" i="4"/>
  <c r="I435" i="4"/>
  <c r="N434" i="4"/>
  <c r="L434" i="4"/>
  <c r="M434" i="4" s="1"/>
  <c r="K434" i="4"/>
  <c r="J434" i="4"/>
  <c r="I434" i="4"/>
  <c r="N433" i="4"/>
  <c r="M433" i="4"/>
  <c r="L433" i="4"/>
  <c r="K433" i="4"/>
  <c r="J433" i="4"/>
  <c r="I433" i="4"/>
  <c r="N432" i="4"/>
  <c r="M432" i="4"/>
  <c r="L432" i="4"/>
  <c r="K432" i="4"/>
  <c r="J432" i="4"/>
  <c r="I432" i="4"/>
  <c r="N431" i="4"/>
  <c r="L431" i="4"/>
  <c r="M431" i="4" s="1"/>
  <c r="K431" i="4"/>
  <c r="J431" i="4"/>
  <c r="I431" i="4"/>
  <c r="N430" i="4"/>
  <c r="L430" i="4"/>
  <c r="M430" i="4" s="1"/>
  <c r="K430" i="4"/>
  <c r="J430" i="4"/>
  <c r="I430" i="4"/>
  <c r="N429" i="4"/>
  <c r="M429" i="4"/>
  <c r="L429" i="4"/>
  <c r="K429" i="4"/>
  <c r="J429" i="4"/>
  <c r="I429" i="4"/>
  <c r="N428" i="4"/>
  <c r="L428" i="4"/>
  <c r="M428" i="4" s="1"/>
  <c r="K428" i="4"/>
  <c r="J428" i="4"/>
  <c r="I428" i="4"/>
  <c r="N427" i="4"/>
  <c r="L427" i="4"/>
  <c r="M427" i="4" s="1"/>
  <c r="K427" i="4"/>
  <c r="J427" i="4"/>
  <c r="I427" i="4"/>
  <c r="N426" i="4"/>
  <c r="M426" i="4"/>
  <c r="L426" i="4"/>
  <c r="K426" i="4"/>
  <c r="J426" i="4"/>
  <c r="I426" i="4"/>
  <c r="N425" i="4"/>
  <c r="L425" i="4"/>
  <c r="M425" i="4" s="1"/>
  <c r="K425" i="4"/>
  <c r="J425" i="4"/>
  <c r="I425" i="4"/>
  <c r="N424" i="4"/>
  <c r="L424" i="4"/>
  <c r="M424" i="4" s="1"/>
  <c r="K424" i="4"/>
  <c r="J424" i="4"/>
  <c r="I424" i="4"/>
  <c r="N423" i="4"/>
  <c r="M423" i="4"/>
  <c r="L423" i="4"/>
  <c r="K423" i="4"/>
  <c r="J423" i="4"/>
  <c r="I423" i="4"/>
  <c r="N422" i="4"/>
  <c r="M422" i="4"/>
  <c r="L422" i="4"/>
  <c r="K422" i="4"/>
  <c r="J422" i="4"/>
  <c r="I422" i="4"/>
  <c r="N421" i="4"/>
  <c r="L421" i="4"/>
  <c r="M421" i="4" s="1"/>
  <c r="K421" i="4"/>
  <c r="J421" i="4"/>
  <c r="I421" i="4"/>
  <c r="N420" i="4"/>
  <c r="L420" i="4"/>
  <c r="M420" i="4" s="1"/>
  <c r="K420" i="4"/>
  <c r="J420" i="4"/>
  <c r="I420" i="4"/>
  <c r="N419" i="4"/>
  <c r="M419" i="4"/>
  <c r="L419" i="4"/>
  <c r="K419" i="4"/>
  <c r="J419" i="4"/>
  <c r="I419" i="4"/>
  <c r="N418" i="4"/>
  <c r="L418" i="4"/>
  <c r="M418" i="4" s="1"/>
  <c r="K418" i="4"/>
  <c r="J418" i="4"/>
  <c r="I418" i="4"/>
  <c r="N417" i="4"/>
  <c r="L417" i="4"/>
  <c r="M417" i="4" s="1"/>
  <c r="K417" i="4"/>
  <c r="J417" i="4"/>
  <c r="I417" i="4"/>
  <c r="N416" i="4"/>
  <c r="M416" i="4"/>
  <c r="L416" i="4"/>
  <c r="K416" i="4"/>
  <c r="J416" i="4"/>
  <c r="I416" i="4"/>
  <c r="N415" i="4"/>
  <c r="L415" i="4"/>
  <c r="M415" i="4" s="1"/>
  <c r="K415" i="4"/>
  <c r="J415" i="4"/>
  <c r="I415" i="4"/>
  <c r="N414" i="4"/>
  <c r="L414" i="4"/>
  <c r="M414" i="4" s="1"/>
  <c r="K414" i="4"/>
  <c r="J414" i="4"/>
  <c r="I414" i="4"/>
  <c r="N413" i="4"/>
  <c r="M413" i="4"/>
  <c r="L413" i="4"/>
  <c r="K413" i="4"/>
  <c r="J413" i="4"/>
  <c r="I413" i="4"/>
  <c r="N412" i="4"/>
  <c r="M412" i="4"/>
  <c r="L412" i="4"/>
  <c r="K412" i="4"/>
  <c r="J412" i="4"/>
  <c r="I412" i="4"/>
  <c r="N411" i="4"/>
  <c r="L411" i="4"/>
  <c r="M411" i="4" s="1"/>
  <c r="K411" i="4"/>
  <c r="J411" i="4"/>
  <c r="I411" i="4"/>
  <c r="N410" i="4"/>
  <c r="L410" i="4"/>
  <c r="M410" i="4" s="1"/>
  <c r="K410" i="4"/>
  <c r="J410" i="4"/>
  <c r="I410" i="4"/>
  <c r="N409" i="4"/>
  <c r="M409" i="4"/>
  <c r="L409" i="4"/>
  <c r="K409" i="4"/>
  <c r="J409" i="4"/>
  <c r="I409" i="4"/>
  <c r="N408" i="4"/>
  <c r="L408" i="4"/>
  <c r="M408" i="4" s="1"/>
  <c r="K408" i="4"/>
  <c r="J408" i="4"/>
  <c r="I408" i="4"/>
  <c r="N407" i="4"/>
  <c r="L407" i="4"/>
  <c r="M407" i="4" s="1"/>
  <c r="K407" i="4"/>
  <c r="J407" i="4"/>
  <c r="I407" i="4"/>
  <c r="N406" i="4"/>
  <c r="M406" i="4"/>
  <c r="L406" i="4"/>
  <c r="K406" i="4"/>
  <c r="J406" i="4"/>
  <c r="I406" i="4"/>
  <c r="N405" i="4"/>
  <c r="L405" i="4"/>
  <c r="M405" i="4" s="1"/>
  <c r="K405" i="4"/>
  <c r="J405" i="4"/>
  <c r="I405" i="4"/>
  <c r="N404" i="4"/>
  <c r="L404" i="4"/>
  <c r="M404" i="4" s="1"/>
  <c r="K404" i="4"/>
  <c r="J404" i="4"/>
  <c r="I404" i="4"/>
  <c r="N403" i="4"/>
  <c r="M403" i="4"/>
  <c r="L403" i="4"/>
  <c r="K403" i="4"/>
  <c r="J403" i="4"/>
  <c r="I403" i="4"/>
  <c r="N402" i="4"/>
  <c r="M402" i="4"/>
  <c r="L402" i="4"/>
  <c r="K402" i="4"/>
  <c r="J402" i="4"/>
  <c r="I402" i="4"/>
  <c r="N401" i="4"/>
  <c r="L401" i="4"/>
  <c r="M401" i="4" s="1"/>
  <c r="K401" i="4"/>
  <c r="J401" i="4"/>
  <c r="I401" i="4"/>
  <c r="N400" i="4"/>
  <c r="L400" i="4"/>
  <c r="M400" i="4" s="1"/>
  <c r="K400" i="4"/>
  <c r="J400" i="4"/>
  <c r="I400" i="4"/>
  <c r="N399" i="4"/>
  <c r="M399" i="4"/>
  <c r="L399" i="4"/>
  <c r="K399" i="4"/>
  <c r="J399" i="4"/>
  <c r="I399" i="4"/>
  <c r="N398" i="4"/>
  <c r="L398" i="4"/>
  <c r="M398" i="4" s="1"/>
  <c r="K398" i="4"/>
  <c r="J398" i="4"/>
  <c r="I398" i="4"/>
  <c r="N397" i="4"/>
  <c r="L397" i="4"/>
  <c r="M397" i="4" s="1"/>
  <c r="K397" i="4"/>
  <c r="J397" i="4"/>
  <c r="I397" i="4"/>
  <c r="N396" i="4"/>
  <c r="M396" i="4"/>
  <c r="L396" i="4"/>
  <c r="K396" i="4"/>
  <c r="J396" i="4"/>
  <c r="I396" i="4"/>
  <c r="N395" i="4"/>
  <c r="L395" i="4"/>
  <c r="M395" i="4" s="1"/>
  <c r="K395" i="4"/>
  <c r="J395" i="4"/>
  <c r="I395" i="4"/>
  <c r="N394" i="4"/>
  <c r="L394" i="4"/>
  <c r="M394" i="4" s="1"/>
  <c r="K394" i="4"/>
  <c r="J394" i="4"/>
  <c r="I394" i="4"/>
  <c r="N393" i="4"/>
  <c r="M393" i="4"/>
  <c r="L393" i="4"/>
  <c r="K393" i="4"/>
  <c r="J393" i="4"/>
  <c r="I393" i="4"/>
  <c r="N392" i="4"/>
  <c r="M392" i="4"/>
  <c r="L392" i="4"/>
  <c r="K392" i="4"/>
  <c r="J392" i="4"/>
  <c r="I392" i="4"/>
  <c r="N391" i="4"/>
  <c r="L391" i="4"/>
  <c r="M391" i="4" s="1"/>
  <c r="K391" i="4"/>
  <c r="J391" i="4"/>
  <c r="I391" i="4"/>
  <c r="N390" i="4"/>
  <c r="L390" i="4"/>
  <c r="M390" i="4" s="1"/>
  <c r="K390" i="4"/>
  <c r="J390" i="4"/>
  <c r="I390" i="4"/>
  <c r="N389" i="4"/>
  <c r="M389" i="4"/>
  <c r="L389" i="4"/>
  <c r="K389" i="4"/>
  <c r="J389" i="4"/>
  <c r="I389" i="4"/>
  <c r="N388" i="4"/>
  <c r="L388" i="4"/>
  <c r="M388" i="4" s="1"/>
  <c r="K388" i="4"/>
  <c r="J388" i="4"/>
  <c r="I388" i="4"/>
  <c r="N387" i="4"/>
  <c r="L387" i="4"/>
  <c r="M387" i="4" s="1"/>
  <c r="K387" i="4"/>
  <c r="J387" i="4"/>
  <c r="I387" i="4"/>
  <c r="N386" i="4"/>
  <c r="M386" i="4"/>
  <c r="L386" i="4"/>
  <c r="K386" i="4"/>
  <c r="J386" i="4"/>
  <c r="I386" i="4"/>
  <c r="N385" i="4"/>
  <c r="L385" i="4"/>
  <c r="M385" i="4" s="1"/>
  <c r="K385" i="4"/>
  <c r="J385" i="4"/>
  <c r="I385" i="4"/>
  <c r="N384" i="4"/>
  <c r="L384" i="4"/>
  <c r="M384" i="4" s="1"/>
  <c r="K384" i="4"/>
  <c r="J384" i="4"/>
  <c r="I384" i="4"/>
  <c r="N383" i="4"/>
  <c r="M383" i="4"/>
  <c r="L383" i="4"/>
  <c r="K383" i="4"/>
  <c r="J383" i="4"/>
  <c r="I383" i="4"/>
  <c r="N382" i="4"/>
  <c r="M382" i="4"/>
  <c r="L382" i="4"/>
  <c r="K382" i="4"/>
  <c r="J382" i="4"/>
  <c r="I382" i="4"/>
  <c r="N381" i="4"/>
  <c r="L381" i="4"/>
  <c r="M381" i="4" s="1"/>
  <c r="K381" i="4"/>
  <c r="J381" i="4"/>
  <c r="I381" i="4"/>
  <c r="N380" i="4"/>
  <c r="L380" i="4"/>
  <c r="M380" i="4" s="1"/>
  <c r="K380" i="4"/>
  <c r="J380" i="4"/>
  <c r="I380" i="4"/>
  <c r="N379" i="4"/>
  <c r="M379" i="4"/>
  <c r="L379" i="4"/>
  <c r="K379" i="4"/>
  <c r="J379" i="4"/>
  <c r="I379" i="4"/>
  <c r="N378" i="4"/>
  <c r="L378" i="4"/>
  <c r="M378" i="4" s="1"/>
  <c r="K378" i="4"/>
  <c r="J378" i="4"/>
  <c r="I378" i="4"/>
  <c r="N377" i="4"/>
  <c r="L377" i="4"/>
  <c r="M377" i="4" s="1"/>
  <c r="K377" i="4"/>
  <c r="J377" i="4"/>
  <c r="I377" i="4"/>
  <c r="N376" i="4"/>
  <c r="M376" i="4"/>
  <c r="L376" i="4"/>
  <c r="K376" i="4"/>
  <c r="J376" i="4"/>
  <c r="I376" i="4"/>
  <c r="N375" i="4"/>
  <c r="L375" i="4"/>
  <c r="M375" i="4" s="1"/>
  <c r="K375" i="4"/>
  <c r="J375" i="4"/>
  <c r="I375" i="4"/>
  <c r="N374" i="4"/>
  <c r="L374" i="4"/>
  <c r="M374" i="4" s="1"/>
  <c r="K374" i="4"/>
  <c r="J374" i="4"/>
  <c r="I374" i="4"/>
  <c r="N373" i="4"/>
  <c r="M373" i="4"/>
  <c r="L373" i="4"/>
  <c r="K373" i="4"/>
  <c r="J373" i="4"/>
  <c r="I373" i="4"/>
  <c r="N372" i="4"/>
  <c r="M372" i="4"/>
  <c r="L372" i="4"/>
  <c r="K372" i="4"/>
  <c r="J372" i="4"/>
  <c r="I372" i="4"/>
  <c r="N371" i="4"/>
  <c r="L371" i="4"/>
  <c r="M371" i="4" s="1"/>
  <c r="K371" i="4"/>
  <c r="J371" i="4"/>
  <c r="I371" i="4"/>
  <c r="N370" i="4"/>
  <c r="L370" i="4"/>
  <c r="M370" i="4" s="1"/>
  <c r="K370" i="4"/>
  <c r="J370" i="4"/>
  <c r="I370" i="4"/>
  <c r="N369" i="4"/>
  <c r="M369" i="4"/>
  <c r="L369" i="4"/>
  <c r="K369" i="4"/>
  <c r="J369" i="4"/>
  <c r="I369" i="4"/>
  <c r="N368" i="4"/>
  <c r="L368" i="4"/>
  <c r="M368" i="4" s="1"/>
  <c r="K368" i="4"/>
  <c r="J368" i="4"/>
  <c r="I368" i="4"/>
  <c r="N367" i="4"/>
  <c r="L367" i="4"/>
  <c r="M367" i="4" s="1"/>
  <c r="K367" i="4"/>
  <c r="J367" i="4"/>
  <c r="I367" i="4"/>
  <c r="N366" i="4"/>
  <c r="M366" i="4"/>
  <c r="L366" i="4"/>
  <c r="K366" i="4"/>
  <c r="J366" i="4"/>
  <c r="I366" i="4"/>
  <c r="N365" i="4"/>
  <c r="L365" i="4"/>
  <c r="M365" i="4" s="1"/>
  <c r="K365" i="4"/>
  <c r="J365" i="4"/>
  <c r="I365" i="4"/>
  <c r="N364" i="4"/>
  <c r="L364" i="4"/>
  <c r="M364" i="4" s="1"/>
  <c r="K364" i="4"/>
  <c r="J364" i="4"/>
  <c r="I364" i="4"/>
  <c r="N363" i="4"/>
  <c r="M363" i="4"/>
  <c r="L363" i="4"/>
  <c r="K363" i="4"/>
  <c r="J363" i="4"/>
  <c r="I363" i="4"/>
  <c r="N362" i="4"/>
  <c r="M362" i="4"/>
  <c r="L362" i="4"/>
  <c r="K362" i="4"/>
  <c r="J362" i="4"/>
  <c r="I362" i="4"/>
  <c r="N361" i="4"/>
  <c r="L361" i="4"/>
  <c r="M361" i="4" s="1"/>
  <c r="K361" i="4"/>
  <c r="J361" i="4"/>
  <c r="I361" i="4"/>
  <c r="N360" i="4"/>
  <c r="L360" i="4"/>
  <c r="M360" i="4" s="1"/>
  <c r="K360" i="4"/>
  <c r="J360" i="4"/>
  <c r="I360" i="4"/>
  <c r="N359" i="4"/>
  <c r="M359" i="4"/>
  <c r="L359" i="4"/>
  <c r="K359" i="4"/>
  <c r="J359" i="4"/>
  <c r="I359" i="4"/>
  <c r="N358" i="4"/>
  <c r="L358" i="4"/>
  <c r="M358" i="4" s="1"/>
  <c r="K358" i="4"/>
  <c r="J358" i="4"/>
  <c r="I358" i="4"/>
  <c r="N357" i="4"/>
  <c r="L357" i="4"/>
  <c r="M357" i="4" s="1"/>
  <c r="K357" i="4"/>
  <c r="J357" i="4"/>
  <c r="I357" i="4"/>
  <c r="N356" i="4"/>
  <c r="M356" i="4"/>
  <c r="L356" i="4"/>
  <c r="K356" i="4"/>
  <c r="J356" i="4"/>
  <c r="I356" i="4"/>
  <c r="N355" i="4"/>
  <c r="L355" i="4"/>
  <c r="M355" i="4" s="1"/>
  <c r="K355" i="4"/>
  <c r="J355" i="4"/>
  <c r="I355" i="4"/>
  <c r="N354" i="4"/>
  <c r="L354" i="4"/>
  <c r="M354" i="4" s="1"/>
  <c r="K354" i="4"/>
  <c r="J354" i="4"/>
  <c r="I354" i="4"/>
  <c r="N353" i="4"/>
  <c r="M353" i="4"/>
  <c r="L353" i="4"/>
  <c r="K353" i="4"/>
  <c r="J353" i="4"/>
  <c r="I353" i="4"/>
  <c r="N352" i="4"/>
  <c r="M352" i="4"/>
  <c r="L352" i="4"/>
  <c r="K352" i="4"/>
  <c r="J352" i="4"/>
  <c r="I352" i="4"/>
  <c r="N351" i="4"/>
  <c r="L351" i="4"/>
  <c r="M351" i="4" s="1"/>
  <c r="K351" i="4"/>
  <c r="J351" i="4"/>
  <c r="I351" i="4"/>
  <c r="N350" i="4"/>
  <c r="L350" i="4"/>
  <c r="M350" i="4" s="1"/>
  <c r="K350" i="4"/>
  <c r="J350" i="4"/>
  <c r="I350" i="4"/>
  <c r="N349" i="4"/>
  <c r="M349" i="4"/>
  <c r="L349" i="4"/>
  <c r="K349" i="4"/>
  <c r="J349" i="4"/>
  <c r="I349" i="4"/>
  <c r="N348" i="4"/>
  <c r="L348" i="4"/>
  <c r="M348" i="4" s="1"/>
  <c r="K348" i="4"/>
  <c r="J348" i="4"/>
  <c r="I348" i="4"/>
  <c r="N347" i="4"/>
  <c r="L347" i="4"/>
  <c r="M347" i="4" s="1"/>
  <c r="K347" i="4"/>
  <c r="J347" i="4"/>
  <c r="I347" i="4"/>
  <c r="N346" i="4"/>
  <c r="M346" i="4"/>
  <c r="L346" i="4"/>
  <c r="K346" i="4"/>
  <c r="J346" i="4"/>
  <c r="I346" i="4"/>
  <c r="N345" i="4"/>
  <c r="L345" i="4"/>
  <c r="M345" i="4" s="1"/>
  <c r="K345" i="4"/>
  <c r="J345" i="4"/>
  <c r="I345" i="4"/>
  <c r="N344" i="4"/>
  <c r="L344" i="4"/>
  <c r="M344" i="4" s="1"/>
  <c r="K344" i="4"/>
  <c r="J344" i="4"/>
  <c r="I344" i="4"/>
  <c r="N343" i="4"/>
  <c r="M343" i="4"/>
  <c r="L343" i="4"/>
  <c r="K343" i="4"/>
  <c r="J343" i="4"/>
  <c r="I343" i="4"/>
  <c r="N342" i="4"/>
  <c r="M342" i="4"/>
  <c r="L342" i="4"/>
  <c r="K342" i="4"/>
  <c r="J342" i="4"/>
  <c r="I342" i="4"/>
  <c r="N341" i="4"/>
  <c r="L341" i="4"/>
  <c r="M341" i="4" s="1"/>
  <c r="K341" i="4"/>
  <c r="J341" i="4"/>
  <c r="I341" i="4"/>
  <c r="N340" i="4"/>
  <c r="L340" i="4"/>
  <c r="M340" i="4" s="1"/>
  <c r="K340" i="4"/>
  <c r="J340" i="4"/>
  <c r="I340" i="4"/>
  <c r="N339" i="4"/>
  <c r="M339" i="4"/>
  <c r="L339" i="4"/>
  <c r="K339" i="4"/>
  <c r="J339" i="4"/>
  <c r="I339" i="4"/>
  <c r="N338" i="4"/>
  <c r="L338" i="4"/>
  <c r="M338" i="4" s="1"/>
  <c r="K338" i="4"/>
  <c r="J338" i="4"/>
  <c r="I338" i="4"/>
  <c r="N337" i="4"/>
  <c r="L337" i="4"/>
  <c r="M337" i="4" s="1"/>
  <c r="K337" i="4"/>
  <c r="J337" i="4"/>
  <c r="I337" i="4"/>
  <c r="N336" i="4"/>
  <c r="M336" i="4"/>
  <c r="L336" i="4"/>
  <c r="K336" i="4"/>
  <c r="J336" i="4"/>
  <c r="I336" i="4"/>
  <c r="N335" i="4"/>
  <c r="L335" i="4"/>
  <c r="M335" i="4" s="1"/>
  <c r="K335" i="4"/>
  <c r="J335" i="4"/>
  <c r="I335" i="4"/>
  <c r="N334" i="4"/>
  <c r="L334" i="4"/>
  <c r="M334" i="4" s="1"/>
  <c r="K334" i="4"/>
  <c r="J334" i="4"/>
  <c r="I334" i="4"/>
  <c r="N333" i="4"/>
  <c r="M333" i="4"/>
  <c r="L333" i="4"/>
  <c r="K333" i="4"/>
  <c r="J333" i="4"/>
  <c r="I333" i="4"/>
  <c r="N332" i="4"/>
  <c r="M332" i="4"/>
  <c r="L332" i="4"/>
  <c r="K332" i="4"/>
  <c r="J332" i="4"/>
  <c r="I332" i="4"/>
  <c r="N331" i="4"/>
  <c r="L331" i="4"/>
  <c r="M331" i="4" s="1"/>
  <c r="K331" i="4"/>
  <c r="J331" i="4"/>
  <c r="I331" i="4"/>
  <c r="N330" i="4"/>
  <c r="L330" i="4"/>
  <c r="M330" i="4" s="1"/>
  <c r="K330" i="4"/>
  <c r="J330" i="4"/>
  <c r="I330" i="4"/>
  <c r="N329" i="4"/>
  <c r="M329" i="4"/>
  <c r="L329" i="4"/>
  <c r="K329" i="4"/>
  <c r="J329" i="4"/>
  <c r="I329" i="4"/>
  <c r="N328" i="4"/>
  <c r="L328" i="4"/>
  <c r="M328" i="4" s="1"/>
  <c r="K328" i="4"/>
  <c r="J328" i="4"/>
  <c r="I328" i="4"/>
  <c r="N327" i="4"/>
  <c r="L327" i="4"/>
  <c r="M327" i="4" s="1"/>
  <c r="K327" i="4"/>
  <c r="J327" i="4"/>
  <c r="I327" i="4"/>
  <c r="N326" i="4"/>
  <c r="M326" i="4"/>
  <c r="L326" i="4"/>
  <c r="K326" i="4"/>
  <c r="J326" i="4"/>
  <c r="I326" i="4"/>
  <c r="N325" i="4"/>
  <c r="L325" i="4"/>
  <c r="M325" i="4" s="1"/>
  <c r="K325" i="4"/>
  <c r="J325" i="4"/>
  <c r="I325" i="4"/>
  <c r="N324" i="4"/>
  <c r="L324" i="4"/>
  <c r="M324" i="4" s="1"/>
  <c r="K324" i="4"/>
  <c r="J324" i="4"/>
  <c r="I324" i="4"/>
  <c r="N323" i="4"/>
  <c r="M323" i="4"/>
  <c r="L323" i="4"/>
  <c r="K323" i="4"/>
  <c r="J323" i="4"/>
  <c r="I323" i="4"/>
  <c r="N322" i="4"/>
  <c r="M322" i="4"/>
  <c r="L322" i="4"/>
  <c r="K322" i="4"/>
  <c r="J322" i="4"/>
  <c r="I322" i="4"/>
  <c r="N321" i="4"/>
  <c r="L321" i="4"/>
  <c r="M321" i="4" s="1"/>
  <c r="K321" i="4"/>
  <c r="J321" i="4"/>
  <c r="I321" i="4"/>
  <c r="N320" i="4"/>
  <c r="L320" i="4"/>
  <c r="M320" i="4" s="1"/>
  <c r="K320" i="4"/>
  <c r="J320" i="4"/>
  <c r="I320" i="4"/>
  <c r="N319" i="4"/>
  <c r="M319" i="4"/>
  <c r="L319" i="4"/>
  <c r="K319" i="4"/>
  <c r="J319" i="4"/>
  <c r="I319" i="4"/>
  <c r="N318" i="4"/>
  <c r="L318" i="4"/>
  <c r="M318" i="4" s="1"/>
  <c r="K318" i="4"/>
  <c r="J318" i="4"/>
  <c r="I318" i="4"/>
  <c r="N317" i="4"/>
  <c r="L317" i="4"/>
  <c r="M317" i="4" s="1"/>
  <c r="K317" i="4"/>
  <c r="J317" i="4"/>
  <c r="I317" i="4"/>
  <c r="N316" i="4"/>
  <c r="M316" i="4"/>
  <c r="L316" i="4"/>
  <c r="K316" i="4"/>
  <c r="J316" i="4"/>
  <c r="I316" i="4"/>
  <c r="N315" i="4"/>
  <c r="L315" i="4"/>
  <c r="M315" i="4" s="1"/>
  <c r="K315" i="4"/>
  <c r="J315" i="4"/>
  <c r="I315" i="4"/>
  <c r="N314" i="4"/>
  <c r="L314" i="4"/>
  <c r="M314" i="4" s="1"/>
  <c r="K314" i="4"/>
  <c r="J314" i="4"/>
  <c r="I314" i="4"/>
  <c r="N313" i="4"/>
  <c r="M313" i="4"/>
  <c r="L313" i="4"/>
  <c r="K313" i="4"/>
  <c r="J313" i="4"/>
  <c r="I313" i="4"/>
  <c r="N312" i="4"/>
  <c r="M312" i="4"/>
  <c r="L312" i="4"/>
  <c r="K312" i="4"/>
  <c r="J312" i="4"/>
  <c r="I312" i="4"/>
  <c r="N311" i="4"/>
  <c r="L311" i="4"/>
  <c r="M311" i="4" s="1"/>
  <c r="K311" i="4"/>
  <c r="J311" i="4"/>
  <c r="I311" i="4"/>
  <c r="N310" i="4"/>
  <c r="L310" i="4"/>
  <c r="M310" i="4" s="1"/>
  <c r="K310" i="4"/>
  <c r="J310" i="4"/>
  <c r="I310" i="4"/>
  <c r="N309" i="4"/>
  <c r="M309" i="4"/>
  <c r="L309" i="4"/>
  <c r="K309" i="4"/>
  <c r="J309" i="4"/>
  <c r="I309" i="4"/>
  <c r="N308" i="4"/>
  <c r="L308" i="4"/>
  <c r="M308" i="4" s="1"/>
  <c r="K308" i="4"/>
  <c r="J308" i="4"/>
  <c r="I308" i="4"/>
  <c r="N307" i="4"/>
  <c r="L307" i="4"/>
  <c r="M307" i="4" s="1"/>
  <c r="K307" i="4"/>
  <c r="J307" i="4"/>
  <c r="I307" i="4"/>
  <c r="N306" i="4"/>
  <c r="M306" i="4"/>
  <c r="L306" i="4"/>
  <c r="K306" i="4"/>
  <c r="J306" i="4"/>
  <c r="I306" i="4"/>
  <c r="N305" i="4"/>
  <c r="L305" i="4"/>
  <c r="M305" i="4" s="1"/>
  <c r="K305" i="4"/>
  <c r="J305" i="4"/>
  <c r="I305" i="4"/>
  <c r="N304" i="4"/>
  <c r="L304" i="4"/>
  <c r="M304" i="4" s="1"/>
  <c r="K304" i="4"/>
  <c r="J304" i="4"/>
  <c r="I304" i="4"/>
  <c r="N303" i="4"/>
  <c r="M303" i="4"/>
  <c r="L303" i="4"/>
  <c r="K303" i="4"/>
  <c r="J303" i="4"/>
  <c r="I303" i="4"/>
  <c r="N302" i="4"/>
  <c r="M302" i="4"/>
  <c r="L302" i="4"/>
  <c r="K302" i="4"/>
  <c r="J302" i="4"/>
  <c r="I302" i="4"/>
  <c r="N301" i="4"/>
  <c r="L301" i="4"/>
  <c r="M301" i="4" s="1"/>
  <c r="K301" i="4"/>
  <c r="J301" i="4"/>
  <c r="I301" i="4"/>
  <c r="N300" i="4"/>
  <c r="L300" i="4"/>
  <c r="M300" i="4" s="1"/>
  <c r="K300" i="4"/>
  <c r="J300" i="4"/>
  <c r="I300" i="4"/>
  <c r="N299" i="4"/>
  <c r="M299" i="4"/>
  <c r="L299" i="4"/>
  <c r="K299" i="4"/>
  <c r="J299" i="4"/>
  <c r="I299" i="4"/>
  <c r="N298" i="4"/>
  <c r="L298" i="4"/>
  <c r="M298" i="4" s="1"/>
  <c r="K298" i="4"/>
  <c r="J298" i="4"/>
  <c r="I298" i="4"/>
  <c r="N297" i="4"/>
  <c r="L297" i="4"/>
  <c r="M297" i="4" s="1"/>
  <c r="K297" i="4"/>
  <c r="J297" i="4"/>
  <c r="I297" i="4"/>
  <c r="N296" i="4"/>
  <c r="M296" i="4"/>
  <c r="L296" i="4"/>
  <c r="K296" i="4"/>
  <c r="J296" i="4"/>
  <c r="I296" i="4"/>
  <c r="N295" i="4"/>
  <c r="L295" i="4"/>
  <c r="M295" i="4" s="1"/>
  <c r="K295" i="4"/>
  <c r="J295" i="4"/>
  <c r="I295" i="4"/>
  <c r="N294" i="4"/>
  <c r="L294" i="4"/>
  <c r="M294" i="4" s="1"/>
  <c r="K294" i="4"/>
  <c r="J294" i="4"/>
  <c r="I294" i="4"/>
  <c r="N293" i="4"/>
  <c r="M293" i="4"/>
  <c r="L293" i="4"/>
  <c r="K293" i="4"/>
  <c r="J293" i="4"/>
  <c r="I293" i="4"/>
  <c r="N292" i="4"/>
  <c r="M292" i="4"/>
  <c r="L292" i="4"/>
  <c r="K292" i="4"/>
  <c r="J292" i="4"/>
  <c r="I292" i="4"/>
  <c r="N291" i="4"/>
  <c r="L291" i="4"/>
  <c r="M291" i="4" s="1"/>
  <c r="K291" i="4"/>
  <c r="J291" i="4"/>
  <c r="I291" i="4"/>
  <c r="N290" i="4"/>
  <c r="L290" i="4"/>
  <c r="M290" i="4" s="1"/>
  <c r="K290" i="4"/>
  <c r="J290" i="4"/>
  <c r="I290" i="4"/>
  <c r="N289" i="4"/>
  <c r="M289" i="4"/>
  <c r="L289" i="4"/>
  <c r="K289" i="4"/>
  <c r="J289" i="4"/>
  <c r="I289" i="4"/>
  <c r="N288" i="4"/>
  <c r="L288" i="4"/>
  <c r="M288" i="4" s="1"/>
  <c r="K288" i="4"/>
  <c r="J288" i="4"/>
  <c r="I288" i="4"/>
  <c r="N287" i="4"/>
  <c r="L287" i="4"/>
  <c r="M287" i="4" s="1"/>
  <c r="K287" i="4"/>
  <c r="J287" i="4"/>
  <c r="I287" i="4"/>
  <c r="N286" i="4"/>
  <c r="M286" i="4"/>
  <c r="L286" i="4"/>
  <c r="K286" i="4"/>
  <c r="J286" i="4"/>
  <c r="I286" i="4"/>
  <c r="N285" i="4"/>
  <c r="L285" i="4"/>
  <c r="M285" i="4" s="1"/>
  <c r="K285" i="4"/>
  <c r="J285" i="4"/>
  <c r="I285" i="4"/>
  <c r="N284" i="4"/>
  <c r="L284" i="4"/>
  <c r="M284" i="4" s="1"/>
  <c r="K284" i="4"/>
  <c r="J284" i="4"/>
  <c r="I284" i="4"/>
  <c r="N283" i="4"/>
  <c r="M283" i="4"/>
  <c r="L283" i="4"/>
  <c r="K283" i="4"/>
  <c r="J283" i="4"/>
  <c r="I283" i="4"/>
  <c r="N282" i="4"/>
  <c r="M282" i="4"/>
  <c r="L282" i="4"/>
  <c r="K282" i="4"/>
  <c r="J282" i="4"/>
  <c r="I282" i="4"/>
  <c r="N281" i="4"/>
  <c r="L281" i="4"/>
  <c r="M281" i="4" s="1"/>
  <c r="K281" i="4"/>
  <c r="J281" i="4"/>
  <c r="I281" i="4"/>
  <c r="N280" i="4"/>
  <c r="L280" i="4"/>
  <c r="M280" i="4" s="1"/>
  <c r="K280" i="4"/>
  <c r="J280" i="4"/>
  <c r="I280" i="4"/>
  <c r="N279" i="4"/>
  <c r="M279" i="4"/>
  <c r="L279" i="4"/>
  <c r="K279" i="4"/>
  <c r="J279" i="4"/>
  <c r="I279" i="4"/>
  <c r="N278" i="4"/>
  <c r="L278" i="4"/>
  <c r="M278" i="4" s="1"/>
  <c r="K278" i="4"/>
  <c r="J278" i="4"/>
  <c r="I278" i="4"/>
  <c r="N277" i="4"/>
  <c r="L277" i="4"/>
  <c r="M277" i="4" s="1"/>
  <c r="K277" i="4"/>
  <c r="J277" i="4"/>
  <c r="I277" i="4"/>
  <c r="N276" i="4"/>
  <c r="M276" i="4"/>
  <c r="L276" i="4"/>
  <c r="K276" i="4"/>
  <c r="J276" i="4"/>
  <c r="I276" i="4"/>
  <c r="N275" i="4"/>
  <c r="L275" i="4"/>
  <c r="M275" i="4" s="1"/>
  <c r="K275" i="4"/>
  <c r="J275" i="4"/>
  <c r="I275" i="4"/>
  <c r="N274" i="4"/>
  <c r="L274" i="4"/>
  <c r="M274" i="4" s="1"/>
  <c r="K274" i="4"/>
  <c r="J274" i="4"/>
  <c r="I274" i="4"/>
  <c r="N273" i="4"/>
  <c r="M273" i="4"/>
  <c r="L273" i="4"/>
  <c r="K273" i="4"/>
  <c r="J273" i="4"/>
  <c r="I273" i="4"/>
  <c r="N272" i="4"/>
  <c r="M272" i="4"/>
  <c r="L272" i="4"/>
  <c r="K272" i="4"/>
  <c r="J272" i="4"/>
  <c r="I272" i="4"/>
  <c r="N271" i="4"/>
  <c r="L271" i="4"/>
  <c r="M271" i="4" s="1"/>
  <c r="K271" i="4"/>
  <c r="J271" i="4"/>
  <c r="I271" i="4"/>
  <c r="N270" i="4"/>
  <c r="L270" i="4"/>
  <c r="M270" i="4" s="1"/>
  <c r="K270" i="4"/>
  <c r="J270" i="4"/>
  <c r="I270" i="4"/>
  <c r="N269" i="4"/>
  <c r="M269" i="4"/>
  <c r="L269" i="4"/>
  <c r="K269" i="4"/>
  <c r="J269" i="4"/>
  <c r="I269" i="4"/>
  <c r="N268" i="4"/>
  <c r="L268" i="4"/>
  <c r="M268" i="4" s="1"/>
  <c r="K268" i="4"/>
  <c r="J268" i="4"/>
  <c r="I268" i="4"/>
  <c r="N267" i="4"/>
  <c r="L267" i="4"/>
  <c r="M267" i="4" s="1"/>
  <c r="K267" i="4"/>
  <c r="J267" i="4"/>
  <c r="I267" i="4"/>
  <c r="N266" i="4"/>
  <c r="M266" i="4"/>
  <c r="L266" i="4"/>
  <c r="K266" i="4"/>
  <c r="J266" i="4"/>
  <c r="I266" i="4"/>
  <c r="N265" i="4"/>
  <c r="L265" i="4"/>
  <c r="M265" i="4" s="1"/>
  <c r="K265" i="4"/>
  <c r="J265" i="4"/>
  <c r="I265" i="4"/>
  <c r="N264" i="4"/>
  <c r="L264" i="4"/>
  <c r="M264" i="4" s="1"/>
  <c r="K264" i="4"/>
  <c r="J264" i="4"/>
  <c r="I264" i="4"/>
  <c r="N263" i="4"/>
  <c r="M263" i="4"/>
  <c r="L263" i="4"/>
  <c r="K263" i="4"/>
  <c r="J263" i="4"/>
  <c r="I263" i="4"/>
  <c r="N262" i="4"/>
  <c r="M262" i="4"/>
  <c r="L262" i="4"/>
  <c r="K262" i="4"/>
  <c r="J262" i="4"/>
  <c r="I262" i="4"/>
  <c r="N261" i="4"/>
  <c r="L261" i="4"/>
  <c r="M261" i="4" s="1"/>
  <c r="K261" i="4"/>
  <c r="J261" i="4"/>
  <c r="I261" i="4"/>
  <c r="N260" i="4"/>
  <c r="L260" i="4"/>
  <c r="M260" i="4" s="1"/>
  <c r="K260" i="4"/>
  <c r="J260" i="4"/>
  <c r="I260" i="4"/>
  <c r="N259" i="4"/>
  <c r="M259" i="4"/>
  <c r="L259" i="4"/>
  <c r="K259" i="4"/>
  <c r="J259" i="4"/>
  <c r="I259" i="4"/>
  <c r="N258" i="4"/>
  <c r="L258" i="4"/>
  <c r="M258" i="4" s="1"/>
  <c r="K258" i="4"/>
  <c r="J258" i="4"/>
  <c r="I258" i="4"/>
  <c r="N257" i="4"/>
  <c r="L257" i="4"/>
  <c r="M257" i="4" s="1"/>
  <c r="K257" i="4"/>
  <c r="J257" i="4"/>
  <c r="I257" i="4"/>
  <c r="N256" i="4"/>
  <c r="M256" i="4"/>
  <c r="L256" i="4"/>
  <c r="K256" i="4"/>
  <c r="J256" i="4"/>
  <c r="I256" i="4"/>
  <c r="N255" i="4"/>
  <c r="L255" i="4"/>
  <c r="M255" i="4" s="1"/>
  <c r="K255" i="4"/>
  <c r="J255" i="4"/>
  <c r="I255" i="4"/>
  <c r="N254" i="4"/>
  <c r="L254" i="4"/>
  <c r="M254" i="4" s="1"/>
  <c r="K254" i="4"/>
  <c r="J254" i="4"/>
  <c r="I254" i="4"/>
  <c r="N253" i="4"/>
  <c r="M253" i="4"/>
  <c r="L253" i="4"/>
  <c r="K253" i="4"/>
  <c r="J253" i="4"/>
  <c r="I253" i="4"/>
  <c r="N252" i="4"/>
  <c r="M252" i="4"/>
  <c r="L252" i="4"/>
  <c r="K252" i="4"/>
  <c r="J252" i="4"/>
  <c r="I252" i="4"/>
  <c r="N251" i="4"/>
  <c r="L251" i="4"/>
  <c r="M251" i="4" s="1"/>
  <c r="K251" i="4"/>
  <c r="J251" i="4"/>
  <c r="I251" i="4"/>
  <c r="N250" i="4"/>
  <c r="L250" i="4"/>
  <c r="M250" i="4" s="1"/>
  <c r="K250" i="4"/>
  <c r="J250" i="4"/>
  <c r="I250" i="4"/>
  <c r="N249" i="4"/>
  <c r="M249" i="4"/>
  <c r="L249" i="4"/>
  <c r="K249" i="4"/>
  <c r="J249" i="4"/>
  <c r="I249" i="4"/>
  <c r="N248" i="4"/>
  <c r="L248" i="4"/>
  <c r="M248" i="4" s="1"/>
  <c r="K248" i="4"/>
  <c r="J248" i="4"/>
  <c r="I248" i="4"/>
  <c r="N247" i="4"/>
  <c r="L247" i="4"/>
  <c r="M247" i="4" s="1"/>
  <c r="K247" i="4"/>
  <c r="J247" i="4"/>
  <c r="I247" i="4"/>
  <c r="N246" i="4"/>
  <c r="M246" i="4"/>
  <c r="L246" i="4"/>
  <c r="K246" i="4"/>
  <c r="J246" i="4"/>
  <c r="I246" i="4"/>
  <c r="N245" i="4"/>
  <c r="L245" i="4"/>
  <c r="M245" i="4" s="1"/>
  <c r="K245" i="4"/>
  <c r="J245" i="4"/>
  <c r="I245" i="4"/>
  <c r="N244" i="4"/>
  <c r="L244" i="4"/>
  <c r="M244" i="4" s="1"/>
  <c r="K244" i="4"/>
  <c r="J244" i="4"/>
  <c r="I244" i="4"/>
  <c r="N243" i="4"/>
  <c r="M243" i="4"/>
  <c r="L243" i="4"/>
  <c r="K243" i="4"/>
  <c r="J243" i="4"/>
  <c r="I243" i="4"/>
  <c r="N242" i="4"/>
  <c r="M242" i="4"/>
  <c r="L242" i="4"/>
  <c r="K242" i="4"/>
  <c r="J242" i="4"/>
  <c r="I242" i="4"/>
  <c r="N241" i="4"/>
  <c r="L241" i="4"/>
  <c r="M241" i="4" s="1"/>
  <c r="K241" i="4"/>
  <c r="J241" i="4"/>
  <c r="I241" i="4"/>
  <c r="N240" i="4"/>
  <c r="L240" i="4"/>
  <c r="M240" i="4" s="1"/>
  <c r="K240" i="4"/>
  <c r="J240" i="4"/>
  <c r="I240" i="4"/>
  <c r="N239" i="4"/>
  <c r="M239" i="4"/>
  <c r="L239" i="4"/>
  <c r="K239" i="4"/>
  <c r="J239" i="4"/>
  <c r="I239" i="4"/>
  <c r="N238" i="4"/>
  <c r="L238" i="4"/>
  <c r="M238" i="4" s="1"/>
  <c r="K238" i="4"/>
  <c r="J238" i="4"/>
  <c r="I238" i="4"/>
  <c r="N237" i="4"/>
  <c r="L237" i="4"/>
  <c r="M237" i="4" s="1"/>
  <c r="K237" i="4"/>
  <c r="J237" i="4"/>
  <c r="I237" i="4"/>
  <c r="N236" i="4"/>
  <c r="M236" i="4"/>
  <c r="L236" i="4"/>
  <c r="K236" i="4"/>
  <c r="J236" i="4"/>
  <c r="I236" i="4"/>
  <c r="N235" i="4"/>
  <c r="L235" i="4"/>
  <c r="M235" i="4" s="1"/>
  <c r="K235" i="4"/>
  <c r="J235" i="4"/>
  <c r="I235" i="4"/>
  <c r="N234" i="4"/>
  <c r="L234" i="4"/>
  <c r="M234" i="4" s="1"/>
  <c r="K234" i="4"/>
  <c r="J234" i="4"/>
  <c r="I234" i="4"/>
  <c r="N233" i="4"/>
  <c r="M233" i="4"/>
  <c r="L233" i="4"/>
  <c r="K233" i="4"/>
  <c r="J233" i="4"/>
  <c r="I233" i="4"/>
  <c r="N232" i="4"/>
  <c r="M232" i="4"/>
  <c r="L232" i="4"/>
  <c r="K232" i="4"/>
  <c r="J232" i="4"/>
  <c r="I232" i="4"/>
  <c r="N231" i="4"/>
  <c r="L231" i="4"/>
  <c r="M231" i="4" s="1"/>
  <c r="K231" i="4"/>
  <c r="J231" i="4"/>
  <c r="I231" i="4"/>
  <c r="N230" i="4"/>
  <c r="L230" i="4"/>
  <c r="M230" i="4" s="1"/>
  <c r="K230" i="4"/>
  <c r="J230" i="4"/>
  <c r="I230" i="4"/>
  <c r="N229" i="4"/>
  <c r="M229" i="4"/>
  <c r="L229" i="4"/>
  <c r="K229" i="4"/>
  <c r="J229" i="4"/>
  <c r="I229" i="4"/>
  <c r="N228" i="4"/>
  <c r="L228" i="4"/>
  <c r="M228" i="4" s="1"/>
  <c r="K228" i="4"/>
  <c r="J228" i="4"/>
  <c r="I228" i="4"/>
  <c r="N227" i="4"/>
  <c r="L227" i="4"/>
  <c r="M227" i="4" s="1"/>
  <c r="K227" i="4"/>
  <c r="J227" i="4"/>
  <c r="I227" i="4"/>
  <c r="N226" i="4"/>
  <c r="M226" i="4"/>
  <c r="L226" i="4"/>
  <c r="K226" i="4"/>
  <c r="J226" i="4"/>
  <c r="I226" i="4"/>
  <c r="N225" i="4"/>
  <c r="L225" i="4"/>
  <c r="M225" i="4" s="1"/>
  <c r="K225" i="4"/>
  <c r="J225" i="4"/>
  <c r="I225" i="4"/>
  <c r="N224" i="4"/>
  <c r="L224" i="4"/>
  <c r="M224" i="4" s="1"/>
  <c r="K224" i="4"/>
  <c r="J224" i="4"/>
  <c r="I224" i="4"/>
  <c r="N223" i="4"/>
  <c r="M223" i="4"/>
  <c r="L223" i="4"/>
  <c r="K223" i="4"/>
  <c r="J223" i="4"/>
  <c r="I223" i="4"/>
  <c r="N222" i="4"/>
  <c r="M222" i="4"/>
  <c r="L222" i="4"/>
  <c r="K222" i="4"/>
  <c r="J222" i="4"/>
  <c r="I222" i="4"/>
  <c r="N221" i="4"/>
  <c r="L221" i="4"/>
  <c r="M221" i="4" s="1"/>
  <c r="K221" i="4"/>
  <c r="J221" i="4"/>
  <c r="I221" i="4"/>
  <c r="N220" i="4"/>
  <c r="L220" i="4"/>
  <c r="M220" i="4" s="1"/>
  <c r="K220" i="4"/>
  <c r="J220" i="4"/>
  <c r="I220" i="4"/>
  <c r="N219" i="4"/>
  <c r="M219" i="4"/>
  <c r="L219" i="4"/>
  <c r="K219" i="4"/>
  <c r="J219" i="4"/>
  <c r="I219" i="4"/>
  <c r="N218" i="4"/>
  <c r="L218" i="4"/>
  <c r="M218" i="4" s="1"/>
  <c r="K218" i="4"/>
  <c r="J218" i="4"/>
  <c r="I218" i="4"/>
  <c r="N217" i="4"/>
  <c r="L217" i="4"/>
  <c r="M217" i="4" s="1"/>
  <c r="K217" i="4"/>
  <c r="J217" i="4"/>
  <c r="I217" i="4"/>
  <c r="N216" i="4"/>
  <c r="M216" i="4"/>
  <c r="L216" i="4"/>
  <c r="K216" i="4"/>
  <c r="J216" i="4"/>
  <c r="I216" i="4"/>
  <c r="N215" i="4"/>
  <c r="L215" i="4"/>
  <c r="M215" i="4" s="1"/>
  <c r="K215" i="4"/>
  <c r="J215" i="4"/>
  <c r="I215" i="4"/>
  <c r="N214" i="4"/>
  <c r="L214" i="4"/>
  <c r="M214" i="4" s="1"/>
  <c r="K214" i="4"/>
  <c r="J214" i="4"/>
  <c r="I214" i="4"/>
  <c r="N213" i="4"/>
  <c r="M213" i="4"/>
  <c r="L213" i="4"/>
  <c r="K213" i="4"/>
  <c r="J213" i="4"/>
  <c r="I213" i="4"/>
  <c r="N212" i="4"/>
  <c r="M212" i="4"/>
  <c r="L212" i="4"/>
  <c r="K212" i="4"/>
  <c r="J212" i="4"/>
  <c r="I212" i="4"/>
  <c r="N211" i="4"/>
  <c r="L211" i="4"/>
  <c r="M211" i="4" s="1"/>
  <c r="K211" i="4"/>
  <c r="J211" i="4"/>
  <c r="I211" i="4"/>
  <c r="N210" i="4"/>
  <c r="L210" i="4"/>
  <c r="M210" i="4" s="1"/>
  <c r="K210" i="4"/>
  <c r="J210" i="4"/>
  <c r="I210" i="4"/>
  <c r="N209" i="4"/>
  <c r="M209" i="4"/>
  <c r="L209" i="4"/>
  <c r="K209" i="4"/>
  <c r="J209" i="4"/>
  <c r="I209" i="4"/>
  <c r="N208" i="4"/>
  <c r="L208" i="4"/>
  <c r="M208" i="4" s="1"/>
  <c r="K208" i="4"/>
  <c r="J208" i="4"/>
  <c r="I208" i="4"/>
  <c r="N207" i="4"/>
  <c r="L207" i="4"/>
  <c r="M207" i="4" s="1"/>
  <c r="K207" i="4"/>
  <c r="J207" i="4"/>
  <c r="I207" i="4"/>
  <c r="N206" i="4"/>
  <c r="M206" i="4"/>
  <c r="L206" i="4"/>
  <c r="K206" i="4"/>
  <c r="J206" i="4"/>
  <c r="I206" i="4"/>
  <c r="N205" i="4"/>
  <c r="L205" i="4"/>
  <c r="M205" i="4" s="1"/>
  <c r="K205" i="4"/>
  <c r="J205" i="4"/>
  <c r="I205" i="4"/>
  <c r="N204" i="4"/>
  <c r="L204" i="4"/>
  <c r="M204" i="4" s="1"/>
  <c r="K204" i="4"/>
  <c r="J204" i="4"/>
  <c r="I204" i="4"/>
  <c r="N203" i="4"/>
  <c r="M203" i="4"/>
  <c r="L203" i="4"/>
  <c r="K203" i="4"/>
  <c r="J203" i="4"/>
  <c r="I203" i="4"/>
  <c r="N202" i="4"/>
  <c r="M202" i="4"/>
  <c r="L202" i="4"/>
  <c r="K202" i="4"/>
  <c r="J202" i="4"/>
  <c r="I202" i="4"/>
  <c r="N201" i="4"/>
  <c r="L201" i="4"/>
  <c r="M201" i="4" s="1"/>
  <c r="K201" i="4"/>
  <c r="J201" i="4"/>
  <c r="I201" i="4"/>
  <c r="N200" i="4"/>
  <c r="L200" i="4"/>
  <c r="M200" i="4" s="1"/>
  <c r="K200" i="4"/>
  <c r="J200" i="4"/>
  <c r="I200" i="4"/>
  <c r="N199" i="4"/>
  <c r="M199" i="4"/>
  <c r="L199" i="4"/>
  <c r="K199" i="4"/>
  <c r="J199" i="4"/>
  <c r="I199" i="4"/>
  <c r="N198" i="4"/>
  <c r="L198" i="4"/>
  <c r="M198" i="4" s="1"/>
  <c r="K198" i="4"/>
  <c r="J198" i="4"/>
  <c r="I198" i="4"/>
  <c r="N197" i="4"/>
  <c r="L197" i="4"/>
  <c r="M197" i="4" s="1"/>
  <c r="K197" i="4"/>
  <c r="J197" i="4"/>
  <c r="I197" i="4"/>
  <c r="N196" i="4"/>
  <c r="M196" i="4"/>
  <c r="L196" i="4"/>
  <c r="K196" i="4"/>
  <c r="J196" i="4"/>
  <c r="I196" i="4"/>
  <c r="N195" i="4"/>
  <c r="L195" i="4"/>
  <c r="M195" i="4" s="1"/>
  <c r="K195" i="4"/>
  <c r="J195" i="4"/>
  <c r="I195" i="4"/>
  <c r="N194" i="4"/>
  <c r="L194" i="4"/>
  <c r="M194" i="4" s="1"/>
  <c r="K194" i="4"/>
  <c r="J194" i="4"/>
  <c r="I194" i="4"/>
  <c r="N193" i="4"/>
  <c r="M193" i="4"/>
  <c r="L193" i="4"/>
  <c r="K193" i="4"/>
  <c r="J193" i="4"/>
  <c r="I193" i="4"/>
  <c r="N192" i="4"/>
  <c r="M192" i="4"/>
  <c r="L192" i="4"/>
  <c r="K192" i="4"/>
  <c r="J192" i="4"/>
  <c r="I192" i="4"/>
  <c r="N191" i="4"/>
  <c r="L191" i="4"/>
  <c r="M191" i="4" s="1"/>
  <c r="K191" i="4"/>
  <c r="J191" i="4"/>
  <c r="I191" i="4"/>
  <c r="N190" i="4"/>
  <c r="L190" i="4"/>
  <c r="M190" i="4" s="1"/>
  <c r="K190" i="4"/>
  <c r="J190" i="4"/>
  <c r="I190" i="4"/>
  <c r="N189" i="4"/>
  <c r="M189" i="4"/>
  <c r="L189" i="4"/>
  <c r="K189" i="4"/>
  <c r="J189" i="4"/>
  <c r="I189" i="4"/>
  <c r="N188" i="4"/>
  <c r="L188" i="4"/>
  <c r="M188" i="4" s="1"/>
  <c r="K188" i="4"/>
  <c r="J188" i="4"/>
  <c r="I188" i="4"/>
  <c r="N187" i="4"/>
  <c r="L187" i="4"/>
  <c r="M187" i="4" s="1"/>
  <c r="K187" i="4"/>
  <c r="J187" i="4"/>
  <c r="I187" i="4"/>
  <c r="N186" i="4"/>
  <c r="M186" i="4"/>
  <c r="L186" i="4"/>
  <c r="K186" i="4"/>
  <c r="J186" i="4"/>
  <c r="I186" i="4"/>
  <c r="N185" i="4"/>
  <c r="L185" i="4"/>
  <c r="M185" i="4" s="1"/>
  <c r="K185" i="4"/>
  <c r="J185" i="4"/>
  <c r="I185" i="4"/>
  <c r="N184" i="4"/>
  <c r="L184" i="4"/>
  <c r="M184" i="4" s="1"/>
  <c r="K184" i="4"/>
  <c r="J184" i="4"/>
  <c r="I184" i="4"/>
  <c r="N183" i="4"/>
  <c r="M183" i="4"/>
  <c r="L183" i="4"/>
  <c r="K183" i="4"/>
  <c r="J183" i="4"/>
  <c r="I183" i="4"/>
  <c r="N182" i="4"/>
  <c r="M182" i="4"/>
  <c r="L182" i="4"/>
  <c r="K182" i="4"/>
  <c r="J182" i="4"/>
  <c r="I182" i="4"/>
  <c r="N181" i="4"/>
  <c r="L181" i="4"/>
  <c r="M181" i="4" s="1"/>
  <c r="K181" i="4"/>
  <c r="J181" i="4"/>
  <c r="I181" i="4"/>
  <c r="N180" i="4"/>
  <c r="L180" i="4"/>
  <c r="M180" i="4" s="1"/>
  <c r="K180" i="4"/>
  <c r="J180" i="4"/>
  <c r="I180" i="4"/>
  <c r="N179" i="4"/>
  <c r="M179" i="4"/>
  <c r="L179" i="4"/>
  <c r="K179" i="4"/>
  <c r="J179" i="4"/>
  <c r="I179" i="4"/>
  <c r="N178" i="4"/>
  <c r="L178" i="4"/>
  <c r="M178" i="4" s="1"/>
  <c r="K178" i="4"/>
  <c r="J178" i="4"/>
  <c r="I178" i="4"/>
  <c r="N177" i="4"/>
  <c r="L177" i="4"/>
  <c r="M177" i="4" s="1"/>
  <c r="K177" i="4"/>
  <c r="J177" i="4"/>
  <c r="I177" i="4"/>
  <c r="N176" i="4"/>
  <c r="M176" i="4"/>
  <c r="L176" i="4"/>
  <c r="K176" i="4"/>
  <c r="J176" i="4"/>
  <c r="I176" i="4"/>
  <c r="N175" i="4"/>
  <c r="L175" i="4"/>
  <c r="M175" i="4" s="1"/>
  <c r="K175" i="4"/>
  <c r="J175" i="4"/>
  <c r="I175" i="4"/>
  <c r="N174" i="4"/>
  <c r="L174" i="4"/>
  <c r="M174" i="4" s="1"/>
  <c r="K174" i="4"/>
  <c r="J174" i="4"/>
  <c r="I174" i="4"/>
  <c r="N173" i="4"/>
  <c r="M173" i="4"/>
  <c r="L173" i="4"/>
  <c r="K173" i="4"/>
  <c r="J173" i="4"/>
  <c r="I173" i="4"/>
  <c r="N172" i="4"/>
  <c r="M172" i="4"/>
  <c r="L172" i="4"/>
  <c r="K172" i="4"/>
  <c r="J172" i="4"/>
  <c r="I172" i="4"/>
  <c r="N171" i="4"/>
  <c r="L171" i="4"/>
  <c r="M171" i="4" s="1"/>
  <c r="K171" i="4"/>
  <c r="J171" i="4"/>
  <c r="I171" i="4"/>
  <c r="N170" i="4"/>
  <c r="L170" i="4"/>
  <c r="M170" i="4" s="1"/>
  <c r="K170" i="4"/>
  <c r="J170" i="4"/>
  <c r="I170" i="4"/>
  <c r="N169" i="4"/>
  <c r="M169" i="4"/>
  <c r="L169" i="4"/>
  <c r="K169" i="4"/>
  <c r="J169" i="4"/>
  <c r="I169" i="4"/>
  <c r="N168" i="4"/>
  <c r="L168" i="4"/>
  <c r="M168" i="4" s="1"/>
  <c r="K168" i="4"/>
  <c r="J168" i="4"/>
  <c r="I168" i="4"/>
  <c r="N167" i="4"/>
  <c r="L167" i="4"/>
  <c r="M167" i="4" s="1"/>
  <c r="K167" i="4"/>
  <c r="J167" i="4"/>
  <c r="I167" i="4"/>
  <c r="N166" i="4"/>
  <c r="M166" i="4"/>
  <c r="L166" i="4"/>
  <c r="K166" i="4"/>
  <c r="J166" i="4"/>
  <c r="I166" i="4"/>
  <c r="N165" i="4"/>
  <c r="L165" i="4"/>
  <c r="M165" i="4" s="1"/>
  <c r="K165" i="4"/>
  <c r="J165" i="4"/>
  <c r="I165" i="4"/>
  <c r="N164" i="4"/>
  <c r="L164" i="4"/>
  <c r="M164" i="4" s="1"/>
  <c r="K164" i="4"/>
  <c r="J164" i="4"/>
  <c r="I164" i="4"/>
  <c r="N163" i="4"/>
  <c r="M163" i="4"/>
  <c r="L163" i="4"/>
  <c r="K163" i="4"/>
  <c r="J163" i="4"/>
  <c r="I163" i="4"/>
  <c r="N162" i="4"/>
  <c r="M162" i="4"/>
  <c r="L162" i="4"/>
  <c r="K162" i="4"/>
  <c r="J162" i="4"/>
  <c r="I162" i="4"/>
  <c r="N161" i="4"/>
  <c r="L161" i="4"/>
  <c r="M161" i="4" s="1"/>
  <c r="K161" i="4"/>
  <c r="J161" i="4"/>
  <c r="I161" i="4"/>
  <c r="N160" i="4"/>
  <c r="L160" i="4"/>
  <c r="M160" i="4" s="1"/>
  <c r="K160" i="4"/>
  <c r="J160" i="4"/>
  <c r="I160" i="4"/>
  <c r="N159" i="4"/>
  <c r="M159" i="4"/>
  <c r="L159" i="4"/>
  <c r="K159" i="4"/>
  <c r="J159" i="4"/>
  <c r="I159" i="4"/>
  <c r="N158" i="4"/>
  <c r="L158" i="4"/>
  <c r="M158" i="4" s="1"/>
  <c r="K158" i="4"/>
  <c r="J158" i="4"/>
  <c r="I158" i="4"/>
  <c r="N157" i="4"/>
  <c r="L157" i="4"/>
  <c r="M157" i="4" s="1"/>
  <c r="K157" i="4"/>
  <c r="J157" i="4"/>
  <c r="I157" i="4"/>
  <c r="N156" i="4"/>
  <c r="M156" i="4"/>
  <c r="L156" i="4"/>
  <c r="K156" i="4"/>
  <c r="J156" i="4"/>
  <c r="I156" i="4"/>
  <c r="N155" i="4"/>
  <c r="L155" i="4"/>
  <c r="M155" i="4" s="1"/>
  <c r="K155" i="4"/>
  <c r="J155" i="4"/>
  <c r="I155" i="4"/>
  <c r="N154" i="4"/>
  <c r="L154" i="4"/>
  <c r="M154" i="4" s="1"/>
  <c r="K154" i="4"/>
  <c r="J154" i="4"/>
  <c r="I154" i="4"/>
  <c r="N153" i="4"/>
  <c r="L153" i="4"/>
  <c r="M153" i="4" s="1"/>
  <c r="K153" i="4"/>
  <c r="J153" i="4"/>
  <c r="I153" i="4"/>
  <c r="N152" i="4"/>
  <c r="M152" i="4"/>
  <c r="L152" i="4"/>
  <c r="K152" i="4"/>
  <c r="J152" i="4"/>
  <c r="I152" i="4"/>
  <c r="N151" i="4"/>
  <c r="L151" i="4"/>
  <c r="M151" i="4" s="1"/>
  <c r="K151" i="4"/>
  <c r="J151" i="4"/>
  <c r="I151" i="4"/>
  <c r="N150" i="4"/>
  <c r="L150" i="4"/>
  <c r="M150" i="4" s="1"/>
  <c r="K150" i="4"/>
  <c r="J150" i="4"/>
  <c r="I150" i="4"/>
  <c r="N149" i="4"/>
  <c r="M149" i="4"/>
  <c r="L149" i="4"/>
  <c r="K149" i="4"/>
  <c r="J149" i="4"/>
  <c r="I149" i="4"/>
  <c r="N148" i="4"/>
  <c r="L148" i="4"/>
  <c r="M148" i="4" s="1"/>
  <c r="K148" i="4"/>
  <c r="J148" i="4"/>
  <c r="I148" i="4"/>
  <c r="N147" i="4"/>
  <c r="L147" i="4"/>
  <c r="M147" i="4" s="1"/>
  <c r="K147" i="4"/>
  <c r="J147" i="4"/>
  <c r="I147" i="4"/>
  <c r="N146" i="4"/>
  <c r="M146" i="4"/>
  <c r="L146" i="4"/>
  <c r="K146" i="4"/>
  <c r="J146" i="4"/>
  <c r="I146" i="4"/>
  <c r="N145" i="4"/>
  <c r="L145" i="4"/>
  <c r="M145" i="4" s="1"/>
  <c r="K145" i="4"/>
  <c r="J145" i="4"/>
  <c r="I145" i="4"/>
  <c r="N144" i="4"/>
  <c r="L144" i="4"/>
  <c r="M144" i="4" s="1"/>
  <c r="K144" i="4"/>
  <c r="J144" i="4"/>
  <c r="I144" i="4"/>
  <c r="N143" i="4"/>
  <c r="L143" i="4"/>
  <c r="M143" i="4" s="1"/>
  <c r="K143" i="4"/>
  <c r="J143" i="4"/>
  <c r="I143" i="4"/>
  <c r="N142" i="4"/>
  <c r="M142" i="4"/>
  <c r="L142" i="4"/>
  <c r="K142" i="4"/>
  <c r="J142" i="4"/>
  <c r="I142" i="4"/>
  <c r="N141" i="4"/>
  <c r="L141" i="4"/>
  <c r="M141" i="4" s="1"/>
  <c r="K141" i="4"/>
  <c r="J141" i="4"/>
  <c r="I141" i="4"/>
  <c r="N140" i="4"/>
  <c r="L140" i="4"/>
  <c r="M140" i="4" s="1"/>
  <c r="K140" i="4"/>
  <c r="J140" i="4"/>
  <c r="I140" i="4"/>
  <c r="N139" i="4"/>
  <c r="M139" i="4"/>
  <c r="L139" i="4"/>
  <c r="K139" i="4"/>
  <c r="J139" i="4"/>
  <c r="I139" i="4"/>
  <c r="N138" i="4"/>
  <c r="L138" i="4"/>
  <c r="M138" i="4" s="1"/>
  <c r="K138" i="4"/>
  <c r="J138" i="4"/>
  <c r="I138" i="4"/>
  <c r="N137" i="4"/>
  <c r="L137" i="4"/>
  <c r="M137" i="4" s="1"/>
  <c r="K137" i="4"/>
  <c r="J137" i="4"/>
  <c r="I137" i="4"/>
  <c r="N136" i="4"/>
  <c r="M136" i="4"/>
  <c r="L136" i="4"/>
  <c r="K136" i="4"/>
  <c r="J136" i="4"/>
  <c r="I136" i="4"/>
  <c r="N135" i="4"/>
  <c r="L135" i="4"/>
  <c r="M135" i="4" s="1"/>
  <c r="K135" i="4"/>
  <c r="J135" i="4"/>
  <c r="I135" i="4"/>
  <c r="N134" i="4"/>
  <c r="L134" i="4"/>
  <c r="M134" i="4" s="1"/>
  <c r="K134" i="4"/>
  <c r="J134" i="4"/>
  <c r="I134" i="4"/>
  <c r="N133" i="4"/>
  <c r="L133" i="4"/>
  <c r="M133" i="4" s="1"/>
  <c r="K133" i="4"/>
  <c r="J133" i="4"/>
  <c r="I133" i="4"/>
  <c r="N132" i="4"/>
  <c r="M132" i="4"/>
  <c r="L132" i="4"/>
  <c r="K132" i="4"/>
  <c r="J132" i="4"/>
  <c r="I132" i="4"/>
  <c r="N131" i="4"/>
  <c r="L131" i="4"/>
  <c r="M131" i="4" s="1"/>
  <c r="K131" i="4"/>
  <c r="J131" i="4"/>
  <c r="I131" i="4"/>
  <c r="N130" i="4"/>
  <c r="L130" i="4"/>
  <c r="M130" i="4" s="1"/>
  <c r="K130" i="4"/>
  <c r="J130" i="4"/>
  <c r="I130" i="4"/>
  <c r="N129" i="4"/>
  <c r="M129" i="4"/>
  <c r="L129" i="4"/>
  <c r="K129" i="4"/>
  <c r="J129" i="4"/>
  <c r="I129" i="4"/>
  <c r="N128" i="4"/>
  <c r="L128" i="4"/>
  <c r="M128" i="4" s="1"/>
  <c r="K128" i="4"/>
  <c r="J128" i="4"/>
  <c r="I128" i="4"/>
  <c r="N127" i="4"/>
  <c r="L127" i="4"/>
  <c r="M127" i="4" s="1"/>
  <c r="K127" i="4"/>
  <c r="J127" i="4"/>
  <c r="I127" i="4"/>
  <c r="N126" i="4"/>
  <c r="M126" i="4"/>
  <c r="L126" i="4"/>
  <c r="K126" i="4"/>
  <c r="J126" i="4"/>
  <c r="I126" i="4"/>
  <c r="N125" i="4"/>
  <c r="L125" i="4"/>
  <c r="M125" i="4" s="1"/>
  <c r="K125" i="4"/>
  <c r="J125" i="4"/>
  <c r="I125" i="4"/>
  <c r="N124" i="4"/>
  <c r="L124" i="4"/>
  <c r="M124" i="4" s="1"/>
  <c r="K124" i="4"/>
  <c r="J124" i="4"/>
  <c r="I124" i="4"/>
  <c r="N123" i="4"/>
  <c r="L123" i="4"/>
  <c r="M123" i="4" s="1"/>
  <c r="K123" i="4"/>
  <c r="J123" i="4"/>
  <c r="I123" i="4"/>
  <c r="N122" i="4"/>
  <c r="M122" i="4"/>
  <c r="L122" i="4"/>
  <c r="K122" i="4"/>
  <c r="J122" i="4"/>
  <c r="I122" i="4"/>
  <c r="N121" i="4"/>
  <c r="L121" i="4"/>
  <c r="M121" i="4" s="1"/>
  <c r="K121" i="4"/>
  <c r="J121" i="4"/>
  <c r="I121" i="4"/>
  <c r="N120" i="4"/>
  <c r="L120" i="4"/>
  <c r="M120" i="4" s="1"/>
  <c r="K120" i="4"/>
  <c r="J120" i="4"/>
  <c r="I120" i="4"/>
  <c r="N119" i="4"/>
  <c r="M119" i="4"/>
  <c r="L119" i="4"/>
  <c r="K119" i="4"/>
  <c r="J119" i="4"/>
  <c r="I119" i="4"/>
  <c r="N118" i="4"/>
  <c r="L118" i="4"/>
  <c r="M118" i="4" s="1"/>
  <c r="K118" i="4"/>
  <c r="J118" i="4"/>
  <c r="I118" i="4"/>
  <c r="N117" i="4"/>
  <c r="L117" i="4"/>
  <c r="M117" i="4" s="1"/>
  <c r="K117" i="4"/>
  <c r="J117" i="4"/>
  <c r="I117" i="4"/>
  <c r="N116" i="4"/>
  <c r="M116" i="4"/>
  <c r="L116" i="4"/>
  <c r="K116" i="4"/>
  <c r="J116" i="4"/>
  <c r="I116" i="4"/>
  <c r="N115" i="4"/>
  <c r="L115" i="4"/>
  <c r="M115" i="4" s="1"/>
  <c r="K115" i="4"/>
  <c r="J115" i="4"/>
  <c r="I115" i="4"/>
  <c r="N114" i="4"/>
  <c r="L114" i="4"/>
  <c r="M114" i="4" s="1"/>
  <c r="K114" i="4"/>
  <c r="J114" i="4"/>
  <c r="I114" i="4"/>
  <c r="N113" i="4"/>
  <c r="L113" i="4"/>
  <c r="M113" i="4" s="1"/>
  <c r="K113" i="4"/>
  <c r="J113" i="4"/>
  <c r="I113" i="4"/>
  <c r="N112" i="4"/>
  <c r="M112" i="4"/>
  <c r="L112" i="4"/>
  <c r="K112" i="4"/>
  <c r="J112" i="4"/>
  <c r="I112" i="4"/>
  <c r="N111" i="4"/>
  <c r="L111" i="4"/>
  <c r="M111" i="4" s="1"/>
  <c r="K111" i="4"/>
  <c r="J111" i="4"/>
  <c r="I111" i="4"/>
  <c r="N110" i="4"/>
  <c r="L110" i="4"/>
  <c r="M110" i="4" s="1"/>
  <c r="K110" i="4"/>
  <c r="J110" i="4"/>
  <c r="I110" i="4"/>
  <c r="N109" i="4"/>
  <c r="M109" i="4"/>
  <c r="L109" i="4"/>
  <c r="K109" i="4"/>
  <c r="J109" i="4"/>
  <c r="I109" i="4"/>
  <c r="N108" i="4"/>
  <c r="L108" i="4"/>
  <c r="M108" i="4" s="1"/>
  <c r="K108" i="4"/>
  <c r="J108" i="4"/>
  <c r="I108" i="4"/>
  <c r="N107" i="4"/>
  <c r="L107" i="4"/>
  <c r="M107" i="4" s="1"/>
  <c r="K107" i="4"/>
  <c r="J107" i="4"/>
  <c r="I107" i="4"/>
  <c r="N106" i="4"/>
  <c r="M106" i="4"/>
  <c r="L106" i="4"/>
  <c r="K106" i="4"/>
  <c r="J106" i="4"/>
  <c r="I106" i="4"/>
  <c r="N105" i="4"/>
  <c r="L105" i="4"/>
  <c r="M105" i="4" s="1"/>
  <c r="K105" i="4"/>
  <c r="J105" i="4"/>
  <c r="I105" i="4"/>
  <c r="N104" i="4"/>
  <c r="L104" i="4"/>
  <c r="M104" i="4" s="1"/>
  <c r="K104" i="4"/>
  <c r="J104" i="4"/>
  <c r="I104" i="4"/>
  <c r="N103" i="4"/>
  <c r="L103" i="4"/>
  <c r="M103" i="4" s="1"/>
  <c r="K103" i="4"/>
  <c r="J103" i="4"/>
  <c r="I103" i="4"/>
  <c r="N102" i="4"/>
  <c r="M102" i="4"/>
  <c r="L102" i="4"/>
  <c r="K102" i="4"/>
  <c r="J102" i="4"/>
  <c r="I102" i="4"/>
  <c r="N101" i="4"/>
  <c r="L101" i="4"/>
  <c r="M101" i="4" s="1"/>
  <c r="K101" i="4"/>
  <c r="J101" i="4"/>
  <c r="I101" i="4"/>
  <c r="N100" i="4"/>
  <c r="L100" i="4"/>
  <c r="M100" i="4" s="1"/>
  <c r="K100" i="4"/>
  <c r="J100" i="4"/>
  <c r="I100" i="4"/>
  <c r="N99" i="4"/>
  <c r="M99" i="4"/>
  <c r="L99" i="4"/>
  <c r="K99" i="4"/>
  <c r="J99" i="4"/>
  <c r="I99" i="4"/>
  <c r="N98" i="4"/>
  <c r="L98" i="4"/>
  <c r="M98" i="4" s="1"/>
  <c r="K98" i="4"/>
  <c r="J98" i="4"/>
  <c r="I98" i="4"/>
  <c r="N97" i="4"/>
  <c r="L97" i="4"/>
  <c r="M97" i="4" s="1"/>
  <c r="K97" i="4"/>
  <c r="J97" i="4"/>
  <c r="I97" i="4"/>
  <c r="N96" i="4"/>
  <c r="M96" i="4"/>
  <c r="L96" i="4"/>
  <c r="K96" i="4"/>
  <c r="J96" i="4"/>
  <c r="I96" i="4"/>
  <c r="N95" i="4"/>
  <c r="L95" i="4"/>
  <c r="M95" i="4" s="1"/>
  <c r="K95" i="4"/>
  <c r="J95" i="4"/>
  <c r="I95" i="4"/>
  <c r="N94" i="4"/>
  <c r="L94" i="4"/>
  <c r="M94" i="4" s="1"/>
  <c r="K94" i="4"/>
  <c r="J94" i="4"/>
  <c r="I94" i="4"/>
  <c r="N93" i="4"/>
  <c r="L93" i="4"/>
  <c r="M93" i="4" s="1"/>
  <c r="K93" i="4"/>
  <c r="J93" i="4"/>
  <c r="I93" i="4"/>
  <c r="N92" i="4"/>
  <c r="M92" i="4"/>
  <c r="L92" i="4"/>
  <c r="K92" i="4"/>
  <c r="J92" i="4"/>
  <c r="I92" i="4"/>
  <c r="N91" i="4"/>
  <c r="L91" i="4"/>
  <c r="M91" i="4" s="1"/>
  <c r="K91" i="4"/>
  <c r="J91" i="4"/>
  <c r="I91" i="4"/>
  <c r="N90" i="4"/>
  <c r="L90" i="4"/>
  <c r="M90" i="4" s="1"/>
  <c r="K90" i="4"/>
  <c r="J90" i="4"/>
  <c r="I90" i="4"/>
  <c r="N89" i="4"/>
  <c r="M89" i="4"/>
  <c r="L89" i="4"/>
  <c r="K89" i="4"/>
  <c r="J89" i="4"/>
  <c r="I89" i="4"/>
  <c r="N88" i="4"/>
  <c r="L88" i="4"/>
  <c r="M88" i="4" s="1"/>
  <c r="K88" i="4"/>
  <c r="J88" i="4"/>
  <c r="I88" i="4"/>
  <c r="N87" i="4"/>
  <c r="L87" i="4"/>
  <c r="M87" i="4" s="1"/>
  <c r="K87" i="4"/>
  <c r="J87" i="4"/>
  <c r="I87" i="4"/>
  <c r="N86" i="4"/>
  <c r="M86" i="4"/>
  <c r="L86" i="4"/>
  <c r="K86" i="4"/>
  <c r="J86" i="4"/>
  <c r="I86" i="4"/>
  <c r="N85" i="4"/>
  <c r="L85" i="4"/>
  <c r="M85" i="4" s="1"/>
  <c r="K85" i="4"/>
  <c r="J85" i="4"/>
  <c r="I85" i="4"/>
  <c r="N84" i="4"/>
  <c r="L84" i="4"/>
  <c r="M84" i="4" s="1"/>
  <c r="K84" i="4"/>
  <c r="J84" i="4"/>
  <c r="I84" i="4"/>
  <c r="N83" i="4"/>
  <c r="L83" i="4"/>
  <c r="M83" i="4" s="1"/>
  <c r="K83" i="4"/>
  <c r="J83" i="4"/>
  <c r="I83" i="4"/>
  <c r="N82" i="4"/>
  <c r="M82" i="4"/>
  <c r="L82" i="4"/>
  <c r="K82" i="4"/>
  <c r="J82" i="4"/>
  <c r="I82" i="4"/>
  <c r="N81" i="4"/>
  <c r="L81" i="4"/>
  <c r="M81" i="4" s="1"/>
  <c r="K81" i="4"/>
  <c r="J81" i="4"/>
  <c r="I81" i="4"/>
  <c r="N80" i="4"/>
  <c r="L80" i="4"/>
  <c r="M80" i="4" s="1"/>
  <c r="K80" i="4"/>
  <c r="J80" i="4"/>
  <c r="I80" i="4"/>
  <c r="N79" i="4"/>
  <c r="M79" i="4"/>
  <c r="L79" i="4"/>
  <c r="K79" i="4"/>
  <c r="J79" i="4"/>
  <c r="I79" i="4"/>
  <c r="N78" i="4"/>
  <c r="L78" i="4"/>
  <c r="M78" i="4" s="1"/>
  <c r="K78" i="4"/>
  <c r="J78" i="4"/>
  <c r="I78" i="4"/>
  <c r="N77" i="4"/>
  <c r="L77" i="4"/>
  <c r="M77" i="4" s="1"/>
  <c r="K77" i="4"/>
  <c r="J77" i="4"/>
  <c r="I77" i="4"/>
  <c r="N76" i="4"/>
  <c r="M76" i="4"/>
  <c r="L76" i="4"/>
  <c r="K76" i="4"/>
  <c r="J76" i="4"/>
  <c r="I76" i="4"/>
  <c r="N75" i="4"/>
  <c r="L75" i="4"/>
  <c r="M75" i="4" s="1"/>
  <c r="K75" i="4"/>
  <c r="J75" i="4"/>
  <c r="I75" i="4"/>
  <c r="N74" i="4"/>
  <c r="L74" i="4"/>
  <c r="M74" i="4" s="1"/>
  <c r="K74" i="4"/>
  <c r="J74" i="4"/>
  <c r="I74" i="4"/>
  <c r="N73" i="4"/>
  <c r="L73" i="4"/>
  <c r="M73" i="4" s="1"/>
  <c r="K73" i="4"/>
  <c r="J73" i="4"/>
  <c r="I73" i="4"/>
  <c r="N72" i="4"/>
  <c r="M72" i="4"/>
  <c r="L72" i="4"/>
  <c r="K72" i="4"/>
  <c r="J72" i="4"/>
  <c r="I72" i="4"/>
  <c r="N71" i="4"/>
  <c r="L71" i="4"/>
  <c r="M71" i="4" s="1"/>
  <c r="K71" i="4"/>
  <c r="J71" i="4"/>
  <c r="I71" i="4"/>
  <c r="N70" i="4"/>
  <c r="M70" i="4"/>
  <c r="L70" i="4"/>
  <c r="K70" i="4"/>
  <c r="J70" i="4"/>
  <c r="I70" i="4"/>
  <c r="N69" i="4"/>
  <c r="M69" i="4"/>
  <c r="L69" i="4"/>
  <c r="K69" i="4"/>
  <c r="J69" i="4"/>
  <c r="I69" i="4"/>
  <c r="N68" i="4"/>
  <c r="L68" i="4"/>
  <c r="M68" i="4" s="1"/>
  <c r="K68" i="4"/>
  <c r="J68" i="4"/>
  <c r="I68" i="4"/>
  <c r="N67" i="4"/>
  <c r="L67" i="4"/>
  <c r="M67" i="4" s="1"/>
  <c r="K67" i="4"/>
  <c r="J67" i="4"/>
  <c r="I67" i="4"/>
  <c r="N66" i="4"/>
  <c r="M66" i="4"/>
  <c r="L66" i="4"/>
  <c r="K66" i="4"/>
  <c r="J66" i="4"/>
  <c r="I66" i="4"/>
  <c r="N65" i="4"/>
  <c r="L65" i="4"/>
  <c r="M65" i="4" s="1"/>
  <c r="K65" i="4"/>
  <c r="J65" i="4"/>
  <c r="I65" i="4"/>
  <c r="N64" i="4"/>
  <c r="L64" i="4"/>
  <c r="M64" i="4" s="1"/>
  <c r="K64" i="4"/>
  <c r="J64" i="4"/>
  <c r="I64" i="4"/>
  <c r="N63" i="4"/>
  <c r="L63" i="4"/>
  <c r="M63" i="4" s="1"/>
  <c r="K63" i="4"/>
  <c r="J63" i="4"/>
  <c r="I63" i="4"/>
  <c r="N62" i="4"/>
  <c r="M62" i="4"/>
  <c r="L62" i="4"/>
  <c r="K62" i="4"/>
  <c r="J62" i="4"/>
  <c r="I62" i="4"/>
  <c r="N61" i="4"/>
  <c r="L61" i="4"/>
  <c r="M61" i="4" s="1"/>
  <c r="K61" i="4"/>
  <c r="J61" i="4"/>
  <c r="I61" i="4"/>
  <c r="N60" i="4"/>
  <c r="L60" i="4"/>
  <c r="M60" i="4" s="1"/>
  <c r="K60" i="4"/>
  <c r="J60" i="4"/>
  <c r="I60" i="4"/>
  <c r="N59" i="4"/>
  <c r="M59" i="4"/>
  <c r="L59" i="4"/>
  <c r="K59" i="4"/>
  <c r="J59" i="4"/>
  <c r="I59" i="4"/>
  <c r="N58" i="4"/>
  <c r="L58" i="4"/>
  <c r="M58" i="4" s="1"/>
  <c r="K58" i="4"/>
  <c r="J58" i="4"/>
  <c r="I58" i="4"/>
  <c r="N57" i="4"/>
  <c r="L57" i="4"/>
  <c r="M57" i="4" s="1"/>
  <c r="K57" i="4"/>
  <c r="J57" i="4"/>
  <c r="I57" i="4"/>
  <c r="N56" i="4"/>
  <c r="M56" i="4"/>
  <c r="L56" i="4"/>
  <c r="K56" i="4"/>
  <c r="J56" i="4"/>
  <c r="I56" i="4"/>
  <c r="N55" i="4"/>
  <c r="L55" i="4"/>
  <c r="M55" i="4" s="1"/>
  <c r="K55" i="4"/>
  <c r="J55" i="4"/>
  <c r="I55" i="4"/>
  <c r="N54" i="4"/>
  <c r="L54" i="4"/>
  <c r="M54" i="4" s="1"/>
  <c r="K54" i="4"/>
  <c r="J54" i="4"/>
  <c r="I54" i="4"/>
  <c r="N53" i="4"/>
  <c r="L53" i="4"/>
  <c r="M53" i="4" s="1"/>
  <c r="K53" i="4"/>
  <c r="J53" i="4"/>
  <c r="I53" i="4"/>
  <c r="N52" i="4"/>
  <c r="M52" i="4"/>
  <c r="L52" i="4"/>
  <c r="K52" i="4"/>
  <c r="J52" i="4"/>
  <c r="I52" i="4"/>
  <c r="N51" i="4"/>
  <c r="L51" i="4"/>
  <c r="M51" i="4" s="1"/>
  <c r="K51" i="4"/>
  <c r="J51" i="4"/>
  <c r="I51" i="4"/>
  <c r="N50" i="4"/>
  <c r="L50" i="4"/>
  <c r="M50" i="4" s="1"/>
  <c r="K50" i="4"/>
  <c r="J50" i="4"/>
  <c r="I50" i="4"/>
  <c r="N49" i="4"/>
  <c r="M49" i="4"/>
  <c r="L49" i="4"/>
  <c r="K49" i="4"/>
  <c r="J49" i="4"/>
  <c r="I49" i="4"/>
  <c r="N48" i="4"/>
  <c r="L48" i="4"/>
  <c r="M48" i="4" s="1"/>
  <c r="K48" i="4"/>
  <c r="J48" i="4"/>
  <c r="I48" i="4"/>
  <c r="N47" i="4"/>
  <c r="L47" i="4"/>
  <c r="M47" i="4" s="1"/>
  <c r="K47" i="4"/>
  <c r="J47" i="4"/>
  <c r="I47" i="4"/>
  <c r="N46" i="4"/>
  <c r="M46" i="4"/>
  <c r="L46" i="4"/>
  <c r="K46" i="4"/>
  <c r="J46" i="4"/>
  <c r="I46" i="4"/>
  <c r="N45" i="4"/>
  <c r="L45" i="4"/>
  <c r="M45" i="4" s="1"/>
  <c r="K45" i="4"/>
  <c r="J45" i="4"/>
  <c r="I45" i="4"/>
  <c r="N44" i="4"/>
  <c r="L44" i="4"/>
  <c r="M44" i="4" s="1"/>
  <c r="K44" i="4"/>
  <c r="J44" i="4"/>
  <c r="I44" i="4"/>
  <c r="N43" i="4"/>
  <c r="L43" i="4"/>
  <c r="M43" i="4" s="1"/>
  <c r="K43" i="4"/>
  <c r="J43" i="4"/>
  <c r="I43" i="4"/>
  <c r="N42" i="4"/>
  <c r="M42" i="4"/>
  <c r="L42" i="4"/>
  <c r="K42" i="4"/>
  <c r="J42" i="4"/>
  <c r="I42" i="4"/>
  <c r="N41" i="4"/>
  <c r="L41" i="4"/>
  <c r="M41" i="4" s="1"/>
  <c r="K41" i="4"/>
  <c r="J41" i="4"/>
  <c r="I41" i="4"/>
  <c r="N40" i="4"/>
  <c r="L40" i="4"/>
  <c r="M40" i="4" s="1"/>
  <c r="K40" i="4"/>
  <c r="J40" i="4"/>
  <c r="I40" i="4"/>
  <c r="N39" i="4"/>
  <c r="M39" i="4"/>
  <c r="L39" i="4"/>
  <c r="K39" i="4"/>
  <c r="J39" i="4"/>
  <c r="I39" i="4"/>
  <c r="N38" i="4"/>
  <c r="L38" i="4"/>
  <c r="M38" i="4" s="1"/>
  <c r="K38" i="4"/>
  <c r="J38" i="4"/>
  <c r="I38" i="4"/>
  <c r="N37" i="4"/>
  <c r="L37" i="4"/>
  <c r="M37" i="4" s="1"/>
  <c r="K37" i="4"/>
  <c r="J37" i="4"/>
  <c r="I37" i="4"/>
  <c r="N36" i="4"/>
  <c r="M36" i="4"/>
  <c r="L36" i="4"/>
  <c r="K36" i="4"/>
  <c r="J36" i="4"/>
  <c r="I36" i="4"/>
  <c r="N35" i="4"/>
  <c r="L35" i="4"/>
  <c r="M35" i="4" s="1"/>
  <c r="K35" i="4"/>
  <c r="J35" i="4"/>
  <c r="I35" i="4"/>
  <c r="N34" i="4"/>
  <c r="L34" i="4"/>
  <c r="M34" i="4" s="1"/>
  <c r="K34" i="4"/>
  <c r="J34" i="4"/>
  <c r="I34" i="4"/>
  <c r="N33" i="4"/>
  <c r="L33" i="4"/>
  <c r="M33" i="4" s="1"/>
  <c r="K33" i="4"/>
  <c r="J33" i="4"/>
  <c r="I33" i="4"/>
  <c r="N32" i="4"/>
  <c r="M32" i="4"/>
  <c r="L32" i="4"/>
  <c r="K32" i="4"/>
  <c r="J32" i="4"/>
  <c r="I32" i="4"/>
  <c r="N31" i="4"/>
  <c r="L31" i="4"/>
  <c r="M31" i="4" s="1"/>
  <c r="K31" i="4"/>
  <c r="J31" i="4"/>
  <c r="I31" i="4"/>
  <c r="N30" i="4"/>
  <c r="L30" i="4"/>
  <c r="M30" i="4" s="1"/>
  <c r="K30" i="4"/>
  <c r="J30" i="4"/>
  <c r="I30" i="4"/>
  <c r="N29" i="4"/>
  <c r="M29" i="4"/>
  <c r="L29" i="4"/>
  <c r="K29" i="4"/>
  <c r="J29" i="4"/>
  <c r="I29" i="4"/>
  <c r="N28" i="4"/>
  <c r="L28" i="4"/>
  <c r="M28" i="4" s="1"/>
  <c r="K28" i="4"/>
  <c r="J28" i="4"/>
  <c r="I28" i="4"/>
  <c r="N27" i="4"/>
  <c r="L27" i="4"/>
  <c r="M27" i="4" s="1"/>
  <c r="K27" i="4"/>
  <c r="J27" i="4"/>
  <c r="I27" i="4"/>
  <c r="N26" i="4"/>
  <c r="M26" i="4"/>
  <c r="L26" i="4"/>
  <c r="K26" i="4"/>
  <c r="J26" i="4"/>
  <c r="I26" i="4"/>
  <c r="N25" i="4"/>
  <c r="L25" i="4"/>
  <c r="M25" i="4" s="1"/>
  <c r="K25" i="4"/>
  <c r="J25" i="4"/>
  <c r="I25" i="4"/>
  <c r="N24" i="4"/>
  <c r="L24" i="4"/>
  <c r="M24" i="4" s="1"/>
  <c r="K24" i="4"/>
  <c r="J24" i="4"/>
  <c r="I24" i="4"/>
  <c r="N23" i="4"/>
  <c r="L23" i="4"/>
  <c r="M23" i="4" s="1"/>
  <c r="K23" i="4"/>
  <c r="J23" i="4"/>
  <c r="I23" i="4"/>
  <c r="N22" i="4"/>
  <c r="M22" i="4"/>
  <c r="L22" i="4"/>
  <c r="K22" i="4"/>
  <c r="J22" i="4"/>
  <c r="I22" i="4"/>
  <c r="N21" i="4"/>
  <c r="L21" i="4"/>
  <c r="M21" i="4" s="1"/>
  <c r="K21" i="4"/>
  <c r="J21" i="4"/>
  <c r="I21" i="4"/>
  <c r="N20" i="4"/>
  <c r="L20" i="4"/>
  <c r="M20" i="4" s="1"/>
  <c r="K20" i="4"/>
  <c r="J20" i="4"/>
  <c r="I20" i="4"/>
  <c r="N19" i="4"/>
  <c r="M19" i="4"/>
  <c r="L19" i="4"/>
  <c r="K19" i="4"/>
  <c r="J19" i="4"/>
  <c r="I19" i="4"/>
  <c r="N18" i="4"/>
  <c r="L18" i="4"/>
  <c r="M18" i="4" s="1"/>
  <c r="K18" i="4"/>
  <c r="J18" i="4"/>
  <c r="I18" i="4"/>
  <c r="N17" i="4"/>
  <c r="L17" i="4"/>
  <c r="M17" i="4" s="1"/>
  <c r="K17" i="4"/>
  <c r="J17" i="4"/>
  <c r="I17" i="4"/>
  <c r="N16" i="4"/>
  <c r="M16" i="4"/>
  <c r="L16" i="4"/>
  <c r="K16" i="4"/>
  <c r="J16" i="4"/>
  <c r="I16" i="4"/>
  <c r="N15" i="4"/>
  <c r="L15" i="4"/>
  <c r="M15" i="4" s="1"/>
  <c r="K15" i="4"/>
  <c r="J15" i="4"/>
  <c r="I15" i="4"/>
  <c r="N14" i="4"/>
  <c r="L14" i="4"/>
  <c r="M14" i="4" s="1"/>
  <c r="K14" i="4"/>
  <c r="J14" i="4"/>
  <c r="I14" i="4"/>
  <c r="N13" i="4"/>
  <c r="L13" i="4"/>
  <c r="M13" i="4" s="1"/>
  <c r="K13" i="4"/>
  <c r="J13" i="4"/>
  <c r="I13" i="4"/>
  <c r="N12" i="4"/>
  <c r="M12" i="4"/>
  <c r="L12" i="4"/>
  <c r="K12" i="4"/>
  <c r="J12" i="4"/>
  <c r="I12" i="4"/>
  <c r="N11" i="4"/>
  <c r="L11" i="4"/>
  <c r="M11" i="4" s="1"/>
  <c r="K11" i="4"/>
  <c r="J11" i="4"/>
  <c r="I11" i="4"/>
  <c r="N10" i="4"/>
  <c r="L10" i="4"/>
  <c r="M10" i="4" s="1"/>
  <c r="K10" i="4"/>
  <c r="J10" i="4"/>
  <c r="I10" i="4"/>
  <c r="N9" i="4"/>
  <c r="M9" i="4"/>
  <c r="L9" i="4"/>
  <c r="K9" i="4"/>
  <c r="J9" i="4"/>
  <c r="I9" i="4"/>
  <c r="N8" i="4"/>
  <c r="L8" i="4"/>
  <c r="M8" i="4" s="1"/>
  <c r="K8" i="4"/>
  <c r="J8" i="4"/>
  <c r="I8" i="4"/>
  <c r="N7" i="4"/>
  <c r="L7" i="4"/>
  <c r="M7" i="4" s="1"/>
  <c r="K7" i="4"/>
  <c r="J7" i="4"/>
  <c r="I7" i="4"/>
  <c r="N6" i="4"/>
  <c r="M6" i="4"/>
  <c r="L6" i="4"/>
  <c r="K6" i="4"/>
  <c r="J6" i="4"/>
  <c r="I6" i="4"/>
  <c r="N5" i="4"/>
  <c r="L5" i="4"/>
  <c r="M5" i="4" s="1"/>
  <c r="K5" i="4"/>
  <c r="J5" i="4"/>
  <c r="I5" i="4"/>
  <c r="N4" i="4"/>
  <c r="L4" i="4"/>
  <c r="M4" i="4" s="1"/>
  <c r="K4" i="4"/>
  <c r="J4" i="4"/>
  <c r="I4" i="4"/>
  <c r="N3" i="4"/>
  <c r="L3" i="4"/>
  <c r="M3" i="4" s="1"/>
  <c r="K3" i="4"/>
  <c r="J3" i="4"/>
  <c r="I3" i="4"/>
  <c r="N2" i="4"/>
  <c r="M2" i="4"/>
  <c r="L2" i="4"/>
  <c r="K2" i="4"/>
  <c r="J2" i="4"/>
  <c r="I2" i="4"/>
</calcChain>
</file>

<file path=xl/sharedStrings.xml><?xml version="1.0" encoding="utf-8"?>
<sst xmlns="http://schemas.openxmlformats.org/spreadsheetml/2006/main" count="2024" uniqueCount="635">
  <si>
    <t>merchant_id</t>
  </si>
  <si>
    <t>merchant_name</t>
  </si>
  <si>
    <t>category</t>
  </si>
  <si>
    <t>region</t>
  </si>
  <si>
    <t>Merchant_001</t>
  </si>
  <si>
    <t>ecommerce</t>
  </si>
  <si>
    <t>South</t>
  </si>
  <si>
    <t>Merchant_002</t>
  </si>
  <si>
    <t>grocery</t>
  </si>
  <si>
    <t>West</t>
  </si>
  <si>
    <t>Merchant_003</t>
  </si>
  <si>
    <t>East</t>
  </si>
  <si>
    <t>Merchant_004</t>
  </si>
  <si>
    <t>Merchant_005</t>
  </si>
  <si>
    <t>recharge</t>
  </si>
  <si>
    <t>Merchant_006</t>
  </si>
  <si>
    <t>food_delivery</t>
  </si>
  <si>
    <t>Merchant_007</t>
  </si>
  <si>
    <t>Merchant_008</t>
  </si>
  <si>
    <t>North</t>
  </si>
  <si>
    <t>Merchant_009</t>
  </si>
  <si>
    <t>Merchant_010</t>
  </si>
  <si>
    <t>Merchant_011</t>
  </si>
  <si>
    <t>Merchant_012</t>
  </si>
  <si>
    <t>Merchant_013</t>
  </si>
  <si>
    <t>travel</t>
  </si>
  <si>
    <t>Merchant_014</t>
  </si>
  <si>
    <t>Merchant_015</t>
  </si>
  <si>
    <t>Merchant_016</t>
  </si>
  <si>
    <t>bill_payment</t>
  </si>
  <si>
    <t>Merchant_017</t>
  </si>
  <si>
    <t>Merchant_018</t>
  </si>
  <si>
    <t>Merchant_019</t>
  </si>
  <si>
    <t>Merchant_020</t>
  </si>
  <si>
    <t>Merchant_021</t>
  </si>
  <si>
    <t>Merchant_022</t>
  </si>
  <si>
    <t>Merchant_023</t>
  </si>
  <si>
    <t>Merchant_024</t>
  </si>
  <si>
    <t>Merchant_025</t>
  </si>
  <si>
    <t>Merchant_026</t>
  </si>
  <si>
    <t>Merchant_027</t>
  </si>
  <si>
    <t>Merchant_028</t>
  </si>
  <si>
    <t>Merchant_029</t>
  </si>
  <si>
    <t>Merchant_030</t>
  </si>
  <si>
    <t>Merchant_031</t>
  </si>
  <si>
    <t>Merchant_032</t>
  </si>
  <si>
    <t>Merchant_033</t>
  </si>
  <si>
    <t>Merchant_034</t>
  </si>
  <si>
    <t>Merchant_035</t>
  </si>
  <si>
    <t>Merchant_036</t>
  </si>
  <si>
    <t>entertainment</t>
  </si>
  <si>
    <t>Merchant_037</t>
  </si>
  <si>
    <t>Merchant_038</t>
  </si>
  <si>
    <t>Merchant_039</t>
  </si>
  <si>
    <t>Merchant_040</t>
  </si>
  <si>
    <t>transaction_id</t>
  </si>
  <si>
    <t>user_id</t>
  </si>
  <si>
    <t>transaction_time</t>
  </si>
  <si>
    <t>amount_inr</t>
  </si>
  <si>
    <t>payment_method</t>
  </si>
  <si>
    <t>status</t>
  </si>
  <si>
    <t>risk_score</t>
  </si>
  <si>
    <t>TXN100000</t>
  </si>
  <si>
    <t>Wallet</t>
  </si>
  <si>
    <t>captured</t>
  </si>
  <si>
    <t>TXN100001</t>
  </si>
  <si>
    <t>UPI</t>
  </si>
  <si>
    <t>TXN100002</t>
  </si>
  <si>
    <t>TXN100003</t>
  </si>
  <si>
    <t>Netbanking</t>
  </si>
  <si>
    <t>TXN100004</t>
  </si>
  <si>
    <t>TXN100005</t>
  </si>
  <si>
    <t>TXN100006</t>
  </si>
  <si>
    <t>TXN100007</t>
  </si>
  <si>
    <t>TXN100008</t>
  </si>
  <si>
    <t>TXN100009</t>
  </si>
  <si>
    <t>TXN100010</t>
  </si>
  <si>
    <t>TXN100011</t>
  </si>
  <si>
    <t>Card</t>
  </si>
  <si>
    <t>failed</t>
  </si>
  <si>
    <t>TXN100012</t>
  </si>
  <si>
    <t>TXN100013</t>
  </si>
  <si>
    <t>TXN100014</t>
  </si>
  <si>
    <t>TXN100015</t>
  </si>
  <si>
    <t>TXN100016</t>
  </si>
  <si>
    <t>TXN100017</t>
  </si>
  <si>
    <t>TXN100018</t>
  </si>
  <si>
    <t>TXN100019</t>
  </si>
  <si>
    <t>TXN100020</t>
  </si>
  <si>
    <t>TXN100021</t>
  </si>
  <si>
    <t>TXN100022</t>
  </si>
  <si>
    <t>TXN100023</t>
  </si>
  <si>
    <t>chargeback</t>
  </si>
  <si>
    <t>TXN100024</t>
  </si>
  <si>
    <t>TXN100025</t>
  </si>
  <si>
    <t>TXN100026</t>
  </si>
  <si>
    <t>TXN100027</t>
  </si>
  <si>
    <t>TXN100028</t>
  </si>
  <si>
    <t>TXN100029</t>
  </si>
  <si>
    <t>TXN100030</t>
  </si>
  <si>
    <t>TXN100031</t>
  </si>
  <si>
    <t>TXN100032</t>
  </si>
  <si>
    <t>TXN100033</t>
  </si>
  <si>
    <t>TXN100034</t>
  </si>
  <si>
    <t>TXN100035</t>
  </si>
  <si>
    <t>TXN100036</t>
  </si>
  <si>
    <t>TXN100037</t>
  </si>
  <si>
    <t>TXN100038</t>
  </si>
  <si>
    <t>TXN100039</t>
  </si>
  <si>
    <t>TXN100040</t>
  </si>
  <si>
    <t>TXN100041</t>
  </si>
  <si>
    <t>TXN100042</t>
  </si>
  <si>
    <t>TXN100043</t>
  </si>
  <si>
    <t>TXN100044</t>
  </si>
  <si>
    <t>TXN100045</t>
  </si>
  <si>
    <t>TXN100046</t>
  </si>
  <si>
    <t>TXN100047</t>
  </si>
  <si>
    <t>TXN100048</t>
  </si>
  <si>
    <t>TXN100049</t>
  </si>
  <si>
    <t>TXN100050</t>
  </si>
  <si>
    <t>TXN100051</t>
  </si>
  <si>
    <t>TXN100052</t>
  </si>
  <si>
    <t>TXN100053</t>
  </si>
  <si>
    <t>TXN100054</t>
  </si>
  <si>
    <t>TXN100055</t>
  </si>
  <si>
    <t>TXN100056</t>
  </si>
  <si>
    <t>TXN100057</t>
  </si>
  <si>
    <t>TXN100058</t>
  </si>
  <si>
    <t>TXN100059</t>
  </si>
  <si>
    <t>TXN100060</t>
  </si>
  <si>
    <t>TXN100061</t>
  </si>
  <si>
    <t>TXN100062</t>
  </si>
  <si>
    <t>TXN100063</t>
  </si>
  <si>
    <t>TXN100064</t>
  </si>
  <si>
    <t>TXN100065</t>
  </si>
  <si>
    <t>TXN100066</t>
  </si>
  <si>
    <t>TXN100067</t>
  </si>
  <si>
    <t>TXN100068</t>
  </si>
  <si>
    <t>TXN100069</t>
  </si>
  <si>
    <t>TXN100070</t>
  </si>
  <si>
    <t>TXN100071</t>
  </si>
  <si>
    <t>TXN100072</t>
  </si>
  <si>
    <t>TXN100073</t>
  </si>
  <si>
    <t>TXN100074</t>
  </si>
  <si>
    <t>TXN100075</t>
  </si>
  <si>
    <t>TXN100076</t>
  </si>
  <si>
    <t>TXN100077</t>
  </si>
  <si>
    <t>TXN100078</t>
  </si>
  <si>
    <t>TXN100079</t>
  </si>
  <si>
    <t>TXN100080</t>
  </si>
  <si>
    <t>TXN100081</t>
  </si>
  <si>
    <t>TXN100082</t>
  </si>
  <si>
    <t>TXN100083</t>
  </si>
  <si>
    <t>TXN100084</t>
  </si>
  <si>
    <t>TXN100085</t>
  </si>
  <si>
    <t>TXN100086</t>
  </si>
  <si>
    <t>TXN100087</t>
  </si>
  <si>
    <t>TXN100088</t>
  </si>
  <si>
    <t>TXN100089</t>
  </si>
  <si>
    <t>TXN100090</t>
  </si>
  <si>
    <t>TXN100091</t>
  </si>
  <si>
    <t>TXN100092</t>
  </si>
  <si>
    <t>TXN100093</t>
  </si>
  <si>
    <t>TXN100094</t>
  </si>
  <si>
    <t>TXN100095</t>
  </si>
  <si>
    <t>TXN100096</t>
  </si>
  <si>
    <t>TXN100097</t>
  </si>
  <si>
    <t>TXN100098</t>
  </si>
  <si>
    <t>TXN100099</t>
  </si>
  <si>
    <t>TXN100100</t>
  </si>
  <si>
    <t>TXN100101</t>
  </si>
  <si>
    <t>TXN100102</t>
  </si>
  <si>
    <t>TXN100103</t>
  </si>
  <si>
    <t>TXN100104</t>
  </si>
  <si>
    <t>TXN100105</t>
  </si>
  <si>
    <t>TXN100106</t>
  </si>
  <si>
    <t>TXN100107</t>
  </si>
  <si>
    <t>TXN100108</t>
  </si>
  <si>
    <t>TXN100109</t>
  </si>
  <si>
    <t>TXN100110</t>
  </si>
  <si>
    <t>TXN100111</t>
  </si>
  <si>
    <t>TXN100112</t>
  </si>
  <si>
    <t>TXN100113</t>
  </si>
  <si>
    <t>TXN100114</t>
  </si>
  <si>
    <t>TXN100115</t>
  </si>
  <si>
    <t>TXN100116</t>
  </si>
  <si>
    <t>TXN100117</t>
  </si>
  <si>
    <t>TXN100118</t>
  </si>
  <si>
    <t>TXN100119</t>
  </si>
  <si>
    <t>TXN100120</t>
  </si>
  <si>
    <t>TXN100121</t>
  </si>
  <si>
    <t>TXN100122</t>
  </si>
  <si>
    <t>TXN100123</t>
  </si>
  <si>
    <t>TXN100124</t>
  </si>
  <si>
    <t>TXN100125</t>
  </si>
  <si>
    <t>TXN100126</t>
  </si>
  <si>
    <t>TXN100127</t>
  </si>
  <si>
    <t>TXN100128</t>
  </si>
  <si>
    <t>TXN100129</t>
  </si>
  <si>
    <t>TXN100130</t>
  </si>
  <si>
    <t>TXN100131</t>
  </si>
  <si>
    <t>TXN100132</t>
  </si>
  <si>
    <t>TXN100133</t>
  </si>
  <si>
    <t>TXN100134</t>
  </si>
  <si>
    <t>TXN100135</t>
  </si>
  <si>
    <t>TXN100136</t>
  </si>
  <si>
    <t>TXN100137</t>
  </si>
  <si>
    <t>TXN100138</t>
  </si>
  <si>
    <t>TXN100139</t>
  </si>
  <si>
    <t>TXN100140</t>
  </si>
  <si>
    <t>TXN100141</t>
  </si>
  <si>
    <t>TXN100142</t>
  </si>
  <si>
    <t>TXN100143</t>
  </si>
  <si>
    <t>TXN100144</t>
  </si>
  <si>
    <t>TXN100145</t>
  </si>
  <si>
    <t>TXN100146</t>
  </si>
  <si>
    <t>TXN100147</t>
  </si>
  <si>
    <t>TXN100148</t>
  </si>
  <si>
    <t>TXN100149</t>
  </si>
  <si>
    <t>TXN100150</t>
  </si>
  <si>
    <t>TXN100151</t>
  </si>
  <si>
    <t>TXN100152</t>
  </si>
  <si>
    <t>TXN100153</t>
  </si>
  <si>
    <t>TXN100154</t>
  </si>
  <si>
    <t>TXN100155</t>
  </si>
  <si>
    <t>TXN100156</t>
  </si>
  <si>
    <t>TXN100157</t>
  </si>
  <si>
    <t>TXN100158</t>
  </si>
  <si>
    <t>TXN100159</t>
  </si>
  <si>
    <t>TXN100160</t>
  </si>
  <si>
    <t>TXN100161</t>
  </si>
  <si>
    <t>TXN100162</t>
  </si>
  <si>
    <t>TXN100163</t>
  </si>
  <si>
    <t>TXN100164</t>
  </si>
  <si>
    <t>TXN100165</t>
  </si>
  <si>
    <t>TXN100166</t>
  </si>
  <si>
    <t>TXN100167</t>
  </si>
  <si>
    <t>TXN100168</t>
  </si>
  <si>
    <t>TXN100169</t>
  </si>
  <si>
    <t>TXN100170</t>
  </si>
  <si>
    <t>TXN100171</t>
  </si>
  <si>
    <t>TXN100172</t>
  </si>
  <si>
    <t>TXN100173</t>
  </si>
  <si>
    <t>TXN100174</t>
  </si>
  <si>
    <t>TXN100175</t>
  </si>
  <si>
    <t>TXN100176</t>
  </si>
  <si>
    <t>TXN100177</t>
  </si>
  <si>
    <t>TXN100178</t>
  </si>
  <si>
    <t>TXN100179</t>
  </si>
  <si>
    <t>TXN100180</t>
  </si>
  <si>
    <t>TXN100181</t>
  </si>
  <si>
    <t>TXN100182</t>
  </si>
  <si>
    <t>TXN100183</t>
  </si>
  <si>
    <t>TXN100184</t>
  </si>
  <si>
    <t>TXN100185</t>
  </si>
  <si>
    <t>TXN100186</t>
  </si>
  <si>
    <t>TXN100187</t>
  </si>
  <si>
    <t>TXN100188</t>
  </si>
  <si>
    <t>TXN100189</t>
  </si>
  <si>
    <t>TXN100190</t>
  </si>
  <si>
    <t>TXN100191</t>
  </si>
  <si>
    <t>TXN100192</t>
  </si>
  <si>
    <t>TXN100193</t>
  </si>
  <si>
    <t>TXN100194</t>
  </si>
  <si>
    <t>TXN100195</t>
  </si>
  <si>
    <t>TXN100196</t>
  </si>
  <si>
    <t>TXN100197</t>
  </si>
  <si>
    <t>TXN100198</t>
  </si>
  <si>
    <t>TXN100199</t>
  </si>
  <si>
    <t>TXN100200</t>
  </si>
  <si>
    <t>TXN100201</t>
  </si>
  <si>
    <t>TXN100202</t>
  </si>
  <si>
    <t>TXN100203</t>
  </si>
  <si>
    <t>TXN100204</t>
  </si>
  <si>
    <t>TXN100205</t>
  </si>
  <si>
    <t>TXN100206</t>
  </si>
  <si>
    <t>TXN100207</t>
  </si>
  <si>
    <t>TXN100208</t>
  </si>
  <si>
    <t>TXN100209</t>
  </si>
  <si>
    <t>TXN100210</t>
  </si>
  <si>
    <t>TXN100211</t>
  </si>
  <si>
    <t>TXN100212</t>
  </si>
  <si>
    <t>TXN100213</t>
  </si>
  <si>
    <t>TXN100214</t>
  </si>
  <si>
    <t>TXN100215</t>
  </si>
  <si>
    <t>TXN100216</t>
  </si>
  <si>
    <t>TXN100217</t>
  </si>
  <si>
    <t>TXN100218</t>
  </si>
  <si>
    <t>TXN100219</t>
  </si>
  <si>
    <t>TXN100220</t>
  </si>
  <si>
    <t>TXN100221</t>
  </si>
  <si>
    <t>TXN100222</t>
  </si>
  <si>
    <t>TXN100223</t>
  </si>
  <si>
    <t>TXN100224</t>
  </si>
  <si>
    <t>TXN100225</t>
  </si>
  <si>
    <t>TXN100226</t>
  </si>
  <si>
    <t>TXN100227</t>
  </si>
  <si>
    <t>TXN100228</t>
  </si>
  <si>
    <t>TXN100229</t>
  </si>
  <si>
    <t>TXN100230</t>
  </si>
  <si>
    <t>TXN100231</t>
  </si>
  <si>
    <t>TXN100232</t>
  </si>
  <si>
    <t>TXN100233</t>
  </si>
  <si>
    <t>TXN100234</t>
  </si>
  <si>
    <t>TXN100235</t>
  </si>
  <si>
    <t>TXN100236</t>
  </si>
  <si>
    <t>TXN100237</t>
  </si>
  <si>
    <t>TXN100238</t>
  </si>
  <si>
    <t>TXN100239</t>
  </si>
  <si>
    <t>TXN100240</t>
  </si>
  <si>
    <t>TXN100241</t>
  </si>
  <si>
    <t>TXN100242</t>
  </si>
  <si>
    <t>TXN100243</t>
  </si>
  <si>
    <t>TXN100244</t>
  </si>
  <si>
    <t>TXN100245</t>
  </si>
  <si>
    <t>TXN100246</t>
  </si>
  <si>
    <t>TXN100247</t>
  </si>
  <si>
    <t>TXN100248</t>
  </si>
  <si>
    <t>TXN100249</t>
  </si>
  <si>
    <t>TXN100250</t>
  </si>
  <si>
    <t>TXN100251</t>
  </si>
  <si>
    <t>TXN100252</t>
  </si>
  <si>
    <t>TXN100253</t>
  </si>
  <si>
    <t>TXN100254</t>
  </si>
  <si>
    <t>TXN100255</t>
  </si>
  <si>
    <t>TXN100256</t>
  </si>
  <si>
    <t>TXN100257</t>
  </si>
  <si>
    <t>TXN100258</t>
  </si>
  <si>
    <t>TXN100259</t>
  </si>
  <si>
    <t>TXN100260</t>
  </si>
  <si>
    <t>TXN100261</t>
  </si>
  <si>
    <t>TXN100262</t>
  </si>
  <si>
    <t>TXN100263</t>
  </si>
  <si>
    <t>TXN100264</t>
  </si>
  <si>
    <t>TXN100265</t>
  </si>
  <si>
    <t>TXN100266</t>
  </si>
  <si>
    <t>TXN100267</t>
  </si>
  <si>
    <t>TXN100268</t>
  </si>
  <si>
    <t>TXN100269</t>
  </si>
  <si>
    <t>TXN100270</t>
  </si>
  <si>
    <t>TXN100271</t>
  </si>
  <si>
    <t>TXN100272</t>
  </si>
  <si>
    <t>TXN100273</t>
  </si>
  <si>
    <t>TXN100274</t>
  </si>
  <si>
    <t>TXN100275</t>
  </si>
  <si>
    <t>TXN100276</t>
  </si>
  <si>
    <t>TXN100277</t>
  </si>
  <si>
    <t>TXN100278</t>
  </si>
  <si>
    <t>TXN100279</t>
  </si>
  <si>
    <t>TXN100280</t>
  </si>
  <si>
    <t>TXN100281</t>
  </si>
  <si>
    <t>TXN100282</t>
  </si>
  <si>
    <t>TXN100283</t>
  </si>
  <si>
    <t>TXN100284</t>
  </si>
  <si>
    <t>TXN100285</t>
  </si>
  <si>
    <t>TXN100286</t>
  </si>
  <si>
    <t>TXN100287</t>
  </si>
  <si>
    <t>TXN100288</t>
  </si>
  <si>
    <t>TXN100289</t>
  </si>
  <si>
    <t>TXN100290</t>
  </si>
  <si>
    <t>TXN100291</t>
  </si>
  <si>
    <t>TXN100292</t>
  </si>
  <si>
    <t>TXN100293</t>
  </si>
  <si>
    <t>TXN100294</t>
  </si>
  <si>
    <t>TXN100295</t>
  </si>
  <si>
    <t>TXN100296</t>
  </si>
  <si>
    <t>TXN100297</t>
  </si>
  <si>
    <t>TXN100298</t>
  </si>
  <si>
    <t>TXN100299</t>
  </si>
  <si>
    <t>TXN100300</t>
  </si>
  <si>
    <t>TXN100301</t>
  </si>
  <si>
    <t>TXN100302</t>
  </si>
  <si>
    <t>TXN100303</t>
  </si>
  <si>
    <t>TXN100304</t>
  </si>
  <si>
    <t>TXN100305</t>
  </si>
  <si>
    <t>TXN100306</t>
  </si>
  <si>
    <t>TXN100307</t>
  </si>
  <si>
    <t>TXN100308</t>
  </si>
  <si>
    <t>TXN100309</t>
  </si>
  <si>
    <t>TXN100310</t>
  </si>
  <si>
    <t>TXN100311</t>
  </si>
  <si>
    <t>TXN100312</t>
  </si>
  <si>
    <t>TXN100313</t>
  </si>
  <si>
    <t>TXN100314</t>
  </si>
  <si>
    <t>TXN100315</t>
  </si>
  <si>
    <t>TXN100316</t>
  </si>
  <si>
    <t>TXN100317</t>
  </si>
  <si>
    <t>TXN100318</t>
  </si>
  <si>
    <t>TXN100319</t>
  </si>
  <si>
    <t>TXN100320</t>
  </si>
  <si>
    <t>TXN100321</t>
  </si>
  <si>
    <t>TXN100322</t>
  </si>
  <si>
    <t>TXN100323</t>
  </si>
  <si>
    <t>TXN100324</t>
  </si>
  <si>
    <t>TXN100325</t>
  </si>
  <si>
    <t>TXN100326</t>
  </si>
  <si>
    <t>TXN100327</t>
  </si>
  <si>
    <t>TXN100328</t>
  </si>
  <si>
    <t>TXN100329</t>
  </si>
  <si>
    <t>TXN100330</t>
  </si>
  <si>
    <t>TXN100331</t>
  </si>
  <si>
    <t>TXN100332</t>
  </si>
  <si>
    <t>TXN100333</t>
  </si>
  <si>
    <t>TXN100334</t>
  </si>
  <si>
    <t>TXN100335</t>
  </si>
  <si>
    <t>TXN100336</t>
  </si>
  <si>
    <t>TXN100337</t>
  </si>
  <si>
    <t>TXN100338</t>
  </si>
  <si>
    <t>TXN100339</t>
  </si>
  <si>
    <t>TXN100340</t>
  </si>
  <si>
    <t>TXN100341</t>
  </si>
  <si>
    <t>TXN100342</t>
  </si>
  <si>
    <t>TXN100343</t>
  </si>
  <si>
    <t>TXN100344</t>
  </si>
  <si>
    <t>TXN100345</t>
  </si>
  <si>
    <t>TXN100346</t>
  </si>
  <si>
    <t>TXN100347</t>
  </si>
  <si>
    <t>TXN100348</t>
  </si>
  <si>
    <t>TXN100349</t>
  </si>
  <si>
    <t>TXN100350</t>
  </si>
  <si>
    <t>TXN100351</t>
  </si>
  <si>
    <t>TXN100352</t>
  </si>
  <si>
    <t>TXN100353</t>
  </si>
  <si>
    <t>TXN100354</t>
  </si>
  <si>
    <t>TXN100355</t>
  </si>
  <si>
    <t>TXN100356</t>
  </si>
  <si>
    <t>TXN100357</t>
  </si>
  <si>
    <t>TXN100358</t>
  </si>
  <si>
    <t>TXN100359</t>
  </si>
  <si>
    <t>TXN100360</t>
  </si>
  <si>
    <t>TXN100361</t>
  </si>
  <si>
    <t>TXN100362</t>
  </si>
  <si>
    <t>TXN100363</t>
  </si>
  <si>
    <t>TXN100364</t>
  </si>
  <si>
    <t>TXN100365</t>
  </si>
  <si>
    <t>TXN100366</t>
  </si>
  <si>
    <t>TXN100367</t>
  </si>
  <si>
    <t>TXN100368</t>
  </si>
  <si>
    <t>TXN100369</t>
  </si>
  <si>
    <t>TXN100370</t>
  </si>
  <si>
    <t>TXN100371</t>
  </si>
  <si>
    <t>TXN100372</t>
  </si>
  <si>
    <t>TXN100373</t>
  </si>
  <si>
    <t>TXN100374</t>
  </si>
  <si>
    <t>TXN100375</t>
  </si>
  <si>
    <t>TXN100376</t>
  </si>
  <si>
    <t>TXN100377</t>
  </si>
  <si>
    <t>TXN100378</t>
  </si>
  <si>
    <t>TXN100379</t>
  </si>
  <si>
    <t>TXN100380</t>
  </si>
  <si>
    <t>TXN100381</t>
  </si>
  <si>
    <t>TXN100382</t>
  </si>
  <si>
    <t>TXN100383</t>
  </si>
  <si>
    <t>TXN100384</t>
  </si>
  <si>
    <t>TXN100385</t>
  </si>
  <si>
    <t>TXN100386</t>
  </si>
  <si>
    <t>TXN100387</t>
  </si>
  <si>
    <t>TXN100388</t>
  </si>
  <si>
    <t>TXN100389</t>
  </si>
  <si>
    <t>TXN100390</t>
  </si>
  <si>
    <t>TXN100391</t>
  </si>
  <si>
    <t>TXN100392</t>
  </si>
  <si>
    <t>TXN100393</t>
  </si>
  <si>
    <t>TXN100394</t>
  </si>
  <si>
    <t>TXN100395</t>
  </si>
  <si>
    <t>TXN100396</t>
  </si>
  <si>
    <t>TXN100397</t>
  </si>
  <si>
    <t>TXN100398</t>
  </si>
  <si>
    <t>TXN100399</t>
  </si>
  <si>
    <t>TXN100400</t>
  </si>
  <si>
    <t>TXN100401</t>
  </si>
  <si>
    <t>TXN100402</t>
  </si>
  <si>
    <t>TXN100403</t>
  </si>
  <si>
    <t>TXN100404</t>
  </si>
  <si>
    <t>TXN100405</t>
  </si>
  <si>
    <t>TXN100406</t>
  </si>
  <si>
    <t>TXN100407</t>
  </si>
  <si>
    <t>TXN100408</t>
  </si>
  <si>
    <t>TXN100409</t>
  </si>
  <si>
    <t>TXN100410</t>
  </si>
  <si>
    <t>TXN100411</t>
  </si>
  <si>
    <t>TXN100412</t>
  </si>
  <si>
    <t>TXN100413</t>
  </si>
  <si>
    <t>TXN100414</t>
  </si>
  <si>
    <t>TXN100415</t>
  </si>
  <si>
    <t>TXN100416</t>
  </si>
  <si>
    <t>TXN100417</t>
  </si>
  <si>
    <t>TXN100418</t>
  </si>
  <si>
    <t>TXN100419</t>
  </si>
  <si>
    <t>TXN100420</t>
  </si>
  <si>
    <t>TXN100421</t>
  </si>
  <si>
    <t>TXN100422</t>
  </si>
  <si>
    <t>TXN100423</t>
  </si>
  <si>
    <t>TXN100424</t>
  </si>
  <si>
    <t>TXN100425</t>
  </si>
  <si>
    <t>TXN100426</t>
  </si>
  <si>
    <t>TXN100427</t>
  </si>
  <si>
    <t>TXN100428</t>
  </si>
  <si>
    <t>TXN100429</t>
  </si>
  <si>
    <t>TXN100430</t>
  </si>
  <si>
    <t>TXN100431</t>
  </si>
  <si>
    <t>TXN100432</t>
  </si>
  <si>
    <t>TXN100433</t>
  </si>
  <si>
    <t>TXN100434</t>
  </si>
  <si>
    <t>TXN100435</t>
  </si>
  <si>
    <t>TXN100436</t>
  </si>
  <si>
    <t>TXN100437</t>
  </si>
  <si>
    <t>TXN100438</t>
  </si>
  <si>
    <t>TXN100439</t>
  </si>
  <si>
    <t>TXN100440</t>
  </si>
  <si>
    <t>TXN100441</t>
  </si>
  <si>
    <t>TXN100442</t>
  </si>
  <si>
    <t>TXN100443</t>
  </si>
  <si>
    <t>TXN100444</t>
  </si>
  <si>
    <t>TXN100445</t>
  </si>
  <si>
    <t>TXN100446</t>
  </si>
  <si>
    <t>TXN100447</t>
  </si>
  <si>
    <t>TXN100448</t>
  </si>
  <si>
    <t>TXN100449</t>
  </si>
  <si>
    <t>TXN100450</t>
  </si>
  <si>
    <t>TXN100451</t>
  </si>
  <si>
    <t>TXN100452</t>
  </si>
  <si>
    <t>TXN100453</t>
  </si>
  <si>
    <t>TXN100454</t>
  </si>
  <si>
    <t>TXN100455</t>
  </si>
  <si>
    <t>TXN100456</t>
  </si>
  <si>
    <t>TXN100457</t>
  </si>
  <si>
    <t>TXN100458</t>
  </si>
  <si>
    <t>TXN100459</t>
  </si>
  <si>
    <t>TXN100460</t>
  </si>
  <si>
    <t>TXN100461</t>
  </si>
  <si>
    <t>TXN100462</t>
  </si>
  <si>
    <t>TXN100463</t>
  </si>
  <si>
    <t>TXN100464</t>
  </si>
  <si>
    <t>TXN100465</t>
  </si>
  <si>
    <t>TXN100466</t>
  </si>
  <si>
    <t>TXN100467</t>
  </si>
  <si>
    <t>TXN100468</t>
  </si>
  <si>
    <t>TXN100469</t>
  </si>
  <si>
    <t>TXN100470</t>
  </si>
  <si>
    <t>TXN100471</t>
  </si>
  <si>
    <t>TXN100472</t>
  </si>
  <si>
    <t>TXN100473</t>
  </si>
  <si>
    <t>TXN100474</t>
  </si>
  <si>
    <t>TXN100475</t>
  </si>
  <si>
    <t>TXN100476</t>
  </si>
  <si>
    <t>TXN100477</t>
  </si>
  <si>
    <t>TXN100478</t>
  </si>
  <si>
    <t>TXN100479</t>
  </si>
  <si>
    <t>TXN100480</t>
  </si>
  <si>
    <t>TXN100481</t>
  </si>
  <si>
    <t>TXN100482</t>
  </si>
  <si>
    <t>TXN100483</t>
  </si>
  <si>
    <t>TXN100484</t>
  </si>
  <si>
    <t>TXN100485</t>
  </si>
  <si>
    <t>TXN100486</t>
  </si>
  <si>
    <t>TXN100487</t>
  </si>
  <si>
    <t>TXN100488</t>
  </si>
  <si>
    <t>TXN100489</t>
  </si>
  <si>
    <t>TXN100490</t>
  </si>
  <si>
    <t>TXN100491</t>
  </si>
  <si>
    <t>TXN100492</t>
  </si>
  <si>
    <t>TXN100493</t>
  </si>
  <si>
    <t>TXN100494</t>
  </si>
  <si>
    <t>TXN100495</t>
  </si>
  <si>
    <t>TXN100496</t>
  </si>
  <si>
    <t>TXN100497</t>
  </si>
  <si>
    <t>TXN100498</t>
  </si>
  <si>
    <t>TXN100499</t>
  </si>
  <si>
    <t>TXN200000</t>
  </si>
  <si>
    <t>TXN200001</t>
  </si>
  <si>
    <t>TXN200002</t>
  </si>
  <si>
    <t>TXN200003</t>
  </si>
  <si>
    <t>TXN200004</t>
  </si>
  <si>
    <t>TXN200005</t>
  </si>
  <si>
    <t>TXN200006</t>
  </si>
  <si>
    <t>TXN200007</t>
  </si>
  <si>
    <t>TXN200008</t>
  </si>
  <si>
    <t>TXN200009</t>
  </si>
  <si>
    <t>TXN200010</t>
  </si>
  <si>
    <t>TXN200011</t>
  </si>
  <si>
    <t>TXN200012</t>
  </si>
  <si>
    <t>TXN200013</t>
  </si>
  <si>
    <t>TXN200014</t>
  </si>
  <si>
    <t>TXN300000</t>
  </si>
  <si>
    <t>TXN300001</t>
  </si>
  <si>
    <t>TXN300002</t>
  </si>
  <si>
    <t>TXN300003</t>
  </si>
  <si>
    <t>TXN300004</t>
  </si>
  <si>
    <t>TXN300005</t>
  </si>
  <si>
    <t>TXN300006</t>
  </si>
  <si>
    <t>TXN300007</t>
  </si>
  <si>
    <t>TXN300008</t>
  </si>
  <si>
    <t>TXN300009</t>
  </si>
  <si>
    <t>TXN300010</t>
  </si>
  <si>
    <t>TXN300011</t>
  </si>
  <si>
    <t>TXN300012</t>
  </si>
  <si>
    <t>TXN300013</t>
  </si>
  <si>
    <t>TXN300014</t>
  </si>
  <si>
    <t>TXN300015</t>
  </si>
  <si>
    <t>TXN300016</t>
  </si>
  <si>
    <t>TXN300017</t>
  </si>
  <si>
    <t>TXN300018</t>
  </si>
  <si>
    <t>TXN300019</t>
  </si>
  <si>
    <t>TXN300020</t>
  </si>
  <si>
    <t>TXN300021</t>
  </si>
  <si>
    <t>TXN300022</t>
  </si>
  <si>
    <t>TXN300023</t>
  </si>
  <si>
    <t>TXN300024</t>
  </si>
  <si>
    <t>TXN300025</t>
  </si>
  <si>
    <t>TXN300026</t>
  </si>
  <si>
    <t>TXN300027</t>
  </si>
  <si>
    <t>TXN300028</t>
  </si>
  <si>
    <t>TXN300029</t>
  </si>
  <si>
    <t>TXN300030</t>
  </si>
  <si>
    <t>TXN300031</t>
  </si>
  <si>
    <t>Payment Method</t>
  </si>
  <si>
    <t>MDR %</t>
  </si>
  <si>
    <t>Fee Tier</t>
  </si>
  <si>
    <t>Tier 1</t>
  </si>
  <si>
    <t>Tier 2</t>
  </si>
  <si>
    <t>Tier 3</t>
  </si>
  <si>
    <t>Assumption</t>
  </si>
  <si>
    <t>MDR percentages are illustrative assumptions used only to demonstrate HLOOKUP and estimated transaction-fee calculation; they are not actual Paytm commercial rates.</t>
  </si>
  <si>
    <t>Estimated Fee INR</t>
  </si>
  <si>
    <t>Region</t>
  </si>
  <si>
    <t>transaction_date</t>
  </si>
  <si>
    <t>Grand Total</t>
  </si>
  <si>
    <t>Sum of amount_inr</t>
  </si>
  <si>
    <t>Classification</t>
  </si>
  <si>
    <t>Count of transaction_id</t>
  </si>
  <si>
    <t>Unique Days Transacted</t>
  </si>
  <si>
    <t>Total Transaction Count</t>
  </si>
  <si>
    <t>Description:</t>
  </si>
  <si>
    <t>Pivot table for only 5 values is enough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</si>
</sst>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8">
    <xf numFmtId="0" fontId="0" fillId="0" borderId="0" xfId="0"/>
    <xf numFmtId="0" fontId="16" fillId="0" borderId="0" xfId="0" applyFont="1"/>
    <xf numFmtId="22" fontId="0" fillId="0" borderId="0" xfId="0" applyNumberFormat="1"/>
    <xf numFmtId="10" fontId="0" fillId="0" borderId="0" xfId="0" applyNumberFormat="1"/>
    <xf numFmtId="10" fontId="16" fillId="0" borderId="0" xfId="0" applyNumberFormat="1" applyFont="1"/>
    <xf numFmtId="2" fontId="16" fillId="0" borderId="0" xfId="0" applyNumberFormat="1" applyFont="1"/>
    <xf numFmtId="2" fontId="0" fillId="0" borderId="0" xfId="0" applyNumberFormat="1"/>
    <xf numFmtId="14" fontId="16" fillId="0" borderId="0" xfId="0" applyNumberFormat="1" applyFont="1"/>
    <xf numFmtId="14" fontId="0" fillId="0" borderId="0" xfId="0" applyNumberFormat="1"/>
    <xf numFmtId="0" fontId="0" fillId="0" borderId="0" xfId="0" pivotButton="1"/>
    <xf numFmtId="0" fontId="0" fillId="0" borderId="0" xfId="0" applyNumberFormat="1"/>
    <xf numFmtId="0" fontId="16" fillId="33" borderId="0" xfId="0" applyFont="1" applyFill="1"/>
    <xf numFmtId="0" fontId="16" fillId="33" borderId="10" xfId="0" applyFont="1" applyFill="1" applyBorder="1"/>
    <xf numFmtId="0" fontId="0" fillId="0" borderId="10" xfId="0" applyBorder="1"/>
    <xf numFmtId="0" fontId="0" fillId="0" borderId="0" xfId="0" applyFont="1"/>
    <xf numFmtId="0" fontId="16" fillId="34" borderId="10" xfId="0" applyFont="1" applyFill="1" applyBorder="1"/>
    <xf numFmtId="0" fontId="14" fillId="34" borderId="0" xfId="0" applyFont="1" applyFill="1"/>
    <xf numFmtId="0" fontId="0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Roshan Jaisimha" refreshedDate="46258.892526041665" createdVersion="8" refreshedVersion="8" minRefreshableVersion="3" recordCount="547" xr:uid="{656885E8-AEED-4989-A88E-883F00EB8E94}">
  <cacheSource type="worksheet">
    <worksheetSource ref="A1:N548" sheet="Transactions_View"/>
  </cacheSource>
  <cacheFields count="14">
    <cacheField name="transaction_id" numFmtId="0">
      <sharedItems/>
    </cacheField>
    <cacheField name="user_id" numFmtId="0">
      <sharedItems containsSemiMixedTypes="0" containsString="0" containsNumber="1" containsInteger="1" minValue="1" maxValue="365"/>
    </cacheField>
    <cacheField name="merchant_id" numFmtId="0">
      <sharedItems containsSemiMixedTypes="0" containsString="0" containsNumber="1" containsInteger="1" minValue="1" maxValue="40" count="40">
        <n v="16"/>
        <n v="27"/>
        <n v="11"/>
        <n v="22"/>
        <n v="3"/>
        <n v="23"/>
        <n v="13"/>
        <n v="18"/>
        <n v="35"/>
        <n v="12"/>
        <n v="28"/>
        <n v="33"/>
        <n v="40"/>
        <n v="19"/>
        <n v="25"/>
        <n v="20"/>
        <n v="14"/>
        <n v="21"/>
        <n v="6"/>
        <n v="15"/>
        <n v="31"/>
        <n v="37"/>
        <n v="26"/>
        <n v="7"/>
        <n v="30"/>
        <n v="36"/>
        <n v="29"/>
        <n v="2"/>
        <n v="17"/>
        <n v="4"/>
        <n v="8"/>
        <n v="24"/>
        <n v="5"/>
        <n v="32"/>
        <n v="10"/>
        <n v="38"/>
        <n v="34"/>
        <n v="1"/>
        <n v="39"/>
        <n v="9"/>
      </sharedItems>
    </cacheField>
    <cacheField name="transaction_time" numFmtId="22">
      <sharedItems containsSemiMixedTypes="0" containsNonDate="0" containsDate="1" containsString="0" minDate="2026-01-01T02:14:00" maxDate="2026-01-30T23:17:00"/>
    </cacheField>
    <cacheField name="amount_inr" numFmtId="0">
      <sharedItems containsSemiMixedTypes="0" containsString="0" containsNumber="1" containsInteger="1" minValue="49" maxValue="4999"/>
    </cacheField>
    <cacheField name="payment_method" numFmtId="0">
      <sharedItems/>
    </cacheField>
    <cacheField name="status" numFmtId="0">
      <sharedItems count="3">
        <s v="captured"/>
        <s v="failed"/>
        <s v="chargeback"/>
      </sharedItems>
    </cacheField>
    <cacheField name="risk_score" numFmtId="0">
      <sharedItems containsSemiMixedTypes="0" containsString="0" containsNumber="1" containsInteger="1" minValue="0" maxValue="100"/>
    </cacheField>
    <cacheField name="merchant_name" numFmtId="0">
      <sharedItems/>
    </cacheField>
    <cacheField name="category" numFmtId="0">
      <sharedItems/>
    </cacheField>
    <cacheField name="region" numFmtId="0">
      <sharedItems count="4">
        <s v="West"/>
        <s v="North"/>
        <s v="South"/>
        <s v="East"/>
      </sharedItems>
    </cacheField>
    <cacheField name="MDR %" numFmtId="10">
      <sharedItems containsSemiMixedTypes="0" containsString="0" containsNumber="1" minValue="5.0000000000000001E-3" maxValue="1.2E-2"/>
    </cacheField>
    <cacheField name="Estimated Fee INR" numFmtId="2">
      <sharedItems containsSemiMixedTypes="0" containsString="0" containsNumber="1" minValue="0.245" maxValue="59.988"/>
    </cacheField>
    <cacheField name="transaction_date" numFmtId="14">
      <sharedItems containsSemiMixedTypes="0" containsNonDate="0" containsDate="1" containsString="0" minDate="2026-01-01T00:00:00" maxDate="2026-01-31T00:00:00" count="30">
        <d v="2026-01-29T00:00:00"/>
        <d v="2026-01-04T00:00:00"/>
        <d v="2026-01-24T00:00:00"/>
        <d v="2026-01-30T00:00:00"/>
        <d v="2026-01-06T00:00:00"/>
        <d v="2026-01-08T00:00:00"/>
        <d v="2026-01-27T00:00:00"/>
        <d v="2026-01-11T00:00:00"/>
        <d v="2026-01-21T00:00:00"/>
        <d v="2026-01-01T00:00:00"/>
        <d v="2026-01-09T00:00:00"/>
        <d v="2026-01-13T00:00:00"/>
        <d v="2026-01-14T00:00:00"/>
        <d v="2026-01-22T00:00:00"/>
        <d v="2026-01-05T00:00:00"/>
        <d v="2026-01-18T00:00:00"/>
        <d v="2026-01-26T00:00:00"/>
        <d v="2026-01-15T00:00:00"/>
        <d v="2026-01-17T00:00:00"/>
        <d v="2026-01-28T00:00:00"/>
        <d v="2026-01-23T00:00:00"/>
        <d v="2026-01-25T00:00:00"/>
        <d v="2026-01-02T00:00:00"/>
        <d v="2026-01-19T00:00:00"/>
        <d v="2026-01-16T00:00:00"/>
        <d v="2026-01-07T00:00:00"/>
        <d v="2026-01-20T00:00:00"/>
        <d v="2026-01-10T00:00:00"/>
        <d v="2026-01-12T00:00:00"/>
        <d v="2026-01-03T00:00:00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47">
  <r>
    <s v="TXN100000"/>
    <n v="350"/>
    <x v="0"/>
    <d v="2026-01-29T11:13:00"/>
    <n v="2999"/>
    <s v="Wallet"/>
    <x v="0"/>
    <n v="85"/>
    <s v="Merchant_016"/>
    <s v="bill_payment"/>
    <x v="0"/>
    <n v="7.4999999999999997E-3"/>
    <n v="22.4925"/>
    <x v="0"/>
  </r>
  <r>
    <s v="TXN100001"/>
    <n v="287"/>
    <x v="1"/>
    <d v="2026-01-04T11:49:00"/>
    <n v="49"/>
    <s v="UPI"/>
    <x v="0"/>
    <n v="79"/>
    <s v="Merchant_027"/>
    <s v="ecommerce"/>
    <x v="1"/>
    <n v="5.0000000000000001E-3"/>
    <n v="0.245"/>
    <x v="1"/>
  </r>
  <r>
    <s v="TXN100002"/>
    <n v="122"/>
    <x v="2"/>
    <d v="2026-01-24T04:59:00"/>
    <n v="1499"/>
    <s v="Wallet"/>
    <x v="0"/>
    <n v="22"/>
    <s v="Merchant_011"/>
    <s v="ecommerce"/>
    <x v="1"/>
    <n v="7.4999999999999997E-3"/>
    <n v="11.2425"/>
    <x v="2"/>
  </r>
  <r>
    <s v="TXN100003"/>
    <n v="92"/>
    <x v="3"/>
    <d v="2026-01-29T13:01:00"/>
    <n v="49"/>
    <s v="Netbanking"/>
    <x v="0"/>
    <n v="100"/>
    <s v="Merchant_022"/>
    <s v="travel"/>
    <x v="2"/>
    <n v="0.01"/>
    <n v="0.49"/>
    <x v="0"/>
  </r>
  <r>
    <s v="TXN100004"/>
    <n v="343"/>
    <x v="0"/>
    <d v="2026-01-30T13:51:00"/>
    <n v="99"/>
    <s v="UPI"/>
    <x v="0"/>
    <n v="34"/>
    <s v="Merchant_016"/>
    <s v="bill_payment"/>
    <x v="0"/>
    <n v="5.0000000000000001E-3"/>
    <n v="0.495"/>
    <x v="3"/>
  </r>
  <r>
    <s v="TXN100005"/>
    <n v="196"/>
    <x v="4"/>
    <d v="2026-01-06T22:06:00"/>
    <n v="99"/>
    <s v="UPI"/>
    <x v="0"/>
    <n v="60"/>
    <s v="Merchant_003"/>
    <s v="grocery"/>
    <x v="3"/>
    <n v="5.0000000000000001E-3"/>
    <n v="0.495"/>
    <x v="4"/>
  </r>
  <r>
    <s v="TXN100006"/>
    <n v="236"/>
    <x v="5"/>
    <d v="2026-01-08T06:52:00"/>
    <n v="99"/>
    <s v="Wallet"/>
    <x v="0"/>
    <n v="39"/>
    <s v="Merchant_023"/>
    <s v="travel"/>
    <x v="1"/>
    <n v="7.4999999999999997E-3"/>
    <n v="0.74249999999999994"/>
    <x v="5"/>
  </r>
  <r>
    <s v="TXN100007"/>
    <n v="13"/>
    <x v="6"/>
    <d v="2026-01-27T07:14:00"/>
    <n v="99"/>
    <s v="UPI"/>
    <x v="0"/>
    <n v="51"/>
    <s v="Merchant_013"/>
    <s v="travel"/>
    <x v="3"/>
    <n v="5.0000000000000001E-3"/>
    <n v="0.495"/>
    <x v="6"/>
  </r>
  <r>
    <s v="TXN100008"/>
    <n v="36"/>
    <x v="7"/>
    <d v="2026-01-11T08:55:00"/>
    <n v="799"/>
    <s v="UPI"/>
    <x v="0"/>
    <n v="44"/>
    <s v="Merchant_018"/>
    <s v="grocery"/>
    <x v="0"/>
    <n v="5.0000000000000001E-3"/>
    <n v="3.9950000000000001"/>
    <x v="7"/>
  </r>
  <r>
    <s v="TXN100009"/>
    <n v="348"/>
    <x v="8"/>
    <d v="2026-01-21T16:25:00"/>
    <n v="299"/>
    <s v="UPI"/>
    <x v="0"/>
    <n v="42"/>
    <s v="Merchant_035"/>
    <s v="recharge"/>
    <x v="3"/>
    <n v="5.0000000000000001E-3"/>
    <n v="1.4950000000000001"/>
    <x v="8"/>
  </r>
  <r>
    <s v="TXN100010"/>
    <n v="134"/>
    <x v="9"/>
    <d v="2026-01-01T03:56:00"/>
    <n v="49"/>
    <s v="UPI"/>
    <x v="0"/>
    <n v="74"/>
    <s v="Merchant_012"/>
    <s v="ecommerce"/>
    <x v="3"/>
    <n v="5.0000000000000001E-3"/>
    <n v="0.245"/>
    <x v="9"/>
  </r>
  <r>
    <s v="TXN100011"/>
    <n v="306"/>
    <x v="10"/>
    <d v="2026-01-09T01:06:00"/>
    <n v="2999"/>
    <s v="Card"/>
    <x v="1"/>
    <n v="44"/>
    <s v="Merchant_028"/>
    <s v="ecommerce"/>
    <x v="2"/>
    <n v="1.2E-2"/>
    <n v="35.988"/>
    <x v="10"/>
  </r>
  <r>
    <s v="TXN100012"/>
    <n v="311"/>
    <x v="11"/>
    <d v="2026-01-24T10:27:00"/>
    <n v="49"/>
    <s v="Wallet"/>
    <x v="0"/>
    <n v="14"/>
    <s v="Merchant_033"/>
    <s v="bill_payment"/>
    <x v="3"/>
    <n v="7.4999999999999997E-3"/>
    <n v="0.36749999999999999"/>
    <x v="2"/>
  </r>
  <r>
    <s v="TXN100013"/>
    <n v="131"/>
    <x v="4"/>
    <d v="2026-01-13T18:12:00"/>
    <n v="49"/>
    <s v="UPI"/>
    <x v="0"/>
    <n v="90"/>
    <s v="Merchant_003"/>
    <s v="grocery"/>
    <x v="3"/>
    <n v="5.0000000000000001E-3"/>
    <n v="0.245"/>
    <x v="11"/>
  </r>
  <r>
    <s v="TXN100014"/>
    <n v="276"/>
    <x v="6"/>
    <d v="2026-01-14T00:33:00"/>
    <n v="1499"/>
    <s v="UPI"/>
    <x v="0"/>
    <n v="46"/>
    <s v="Merchant_013"/>
    <s v="travel"/>
    <x v="3"/>
    <n v="5.0000000000000001E-3"/>
    <n v="7.4950000000000001"/>
    <x v="12"/>
  </r>
  <r>
    <s v="TXN100015"/>
    <n v="170"/>
    <x v="12"/>
    <d v="2026-01-14T02:42:00"/>
    <n v="99"/>
    <s v="UPI"/>
    <x v="0"/>
    <n v="40"/>
    <s v="Merchant_040"/>
    <s v="entertainment"/>
    <x v="2"/>
    <n v="5.0000000000000001E-3"/>
    <n v="0.495"/>
    <x v="12"/>
  </r>
  <r>
    <s v="TXN100016"/>
    <n v="154"/>
    <x v="11"/>
    <d v="2026-01-22T03:46:00"/>
    <n v="99"/>
    <s v="Netbanking"/>
    <x v="0"/>
    <n v="39"/>
    <s v="Merchant_033"/>
    <s v="bill_payment"/>
    <x v="3"/>
    <n v="0.01"/>
    <n v="0.99"/>
    <x v="13"/>
  </r>
  <r>
    <s v="TXN100017"/>
    <n v="207"/>
    <x v="13"/>
    <d v="2026-01-22T13:20:00"/>
    <n v="2999"/>
    <s v="Card"/>
    <x v="0"/>
    <n v="70"/>
    <s v="Merchant_019"/>
    <s v="grocery"/>
    <x v="1"/>
    <n v="1.2E-2"/>
    <n v="35.988"/>
    <x v="13"/>
  </r>
  <r>
    <s v="TXN100018"/>
    <n v="341"/>
    <x v="14"/>
    <d v="2026-01-05T06:26:00"/>
    <n v="2999"/>
    <s v="UPI"/>
    <x v="0"/>
    <n v="86"/>
    <s v="Merchant_025"/>
    <s v="travel"/>
    <x v="2"/>
    <n v="5.0000000000000001E-3"/>
    <n v="14.995000000000001"/>
    <x v="14"/>
  </r>
  <r>
    <s v="TXN100019"/>
    <n v="292"/>
    <x v="15"/>
    <d v="2026-01-24T05:39:00"/>
    <n v="49"/>
    <s v="UPI"/>
    <x v="0"/>
    <n v="51"/>
    <s v="Merchant_020"/>
    <s v="food_delivery"/>
    <x v="3"/>
    <n v="5.0000000000000001E-3"/>
    <n v="0.245"/>
    <x v="2"/>
  </r>
  <r>
    <s v="TXN100020"/>
    <n v="147"/>
    <x v="16"/>
    <d v="2026-01-18T00:19:00"/>
    <n v="99"/>
    <s v="Card"/>
    <x v="0"/>
    <n v="55"/>
    <s v="Merchant_014"/>
    <s v="grocery"/>
    <x v="3"/>
    <n v="1.2E-2"/>
    <n v="1.1879999999999999"/>
    <x v="15"/>
  </r>
  <r>
    <s v="TXN100021"/>
    <n v="336"/>
    <x v="17"/>
    <d v="2026-01-26T18:38:00"/>
    <n v="99"/>
    <s v="UPI"/>
    <x v="0"/>
    <n v="59"/>
    <s v="Merchant_021"/>
    <s v="food_delivery"/>
    <x v="3"/>
    <n v="5.0000000000000001E-3"/>
    <n v="0.495"/>
    <x v="16"/>
  </r>
  <r>
    <s v="TXN100022"/>
    <n v="110"/>
    <x v="11"/>
    <d v="2026-01-15T14:43:00"/>
    <n v="799"/>
    <s v="UPI"/>
    <x v="0"/>
    <n v="60"/>
    <s v="Merchant_033"/>
    <s v="bill_payment"/>
    <x v="3"/>
    <n v="5.0000000000000001E-3"/>
    <n v="3.9950000000000001"/>
    <x v="17"/>
  </r>
  <r>
    <s v="TXN100023"/>
    <n v="338"/>
    <x v="18"/>
    <d v="2026-01-26T23:10:00"/>
    <n v="799"/>
    <s v="UPI"/>
    <x v="2"/>
    <n v="36"/>
    <s v="Merchant_006"/>
    <s v="food_delivery"/>
    <x v="2"/>
    <n v="5.0000000000000001E-3"/>
    <n v="3.9950000000000001"/>
    <x v="16"/>
  </r>
  <r>
    <s v="TXN100024"/>
    <n v="318"/>
    <x v="3"/>
    <d v="2026-01-17T21:40:00"/>
    <n v="799"/>
    <s v="Wallet"/>
    <x v="0"/>
    <n v="11"/>
    <s v="Merchant_022"/>
    <s v="travel"/>
    <x v="2"/>
    <n v="7.4999999999999997E-3"/>
    <n v="5.9924999999999997"/>
    <x v="18"/>
  </r>
  <r>
    <s v="TXN100025"/>
    <n v="159"/>
    <x v="19"/>
    <d v="2026-01-27T07:43:00"/>
    <n v="799"/>
    <s v="UPI"/>
    <x v="0"/>
    <n v="25"/>
    <s v="Merchant_015"/>
    <s v="travel"/>
    <x v="1"/>
    <n v="5.0000000000000001E-3"/>
    <n v="3.9950000000000001"/>
    <x v="6"/>
  </r>
  <r>
    <s v="TXN100026"/>
    <n v="126"/>
    <x v="20"/>
    <d v="2026-01-05T00:02:00"/>
    <n v="49"/>
    <s v="Card"/>
    <x v="0"/>
    <n v="78"/>
    <s v="Merchant_031"/>
    <s v="bill_payment"/>
    <x v="3"/>
    <n v="1.2E-2"/>
    <n v="0.58799999999999997"/>
    <x v="14"/>
  </r>
  <r>
    <s v="TXN100027"/>
    <n v="213"/>
    <x v="21"/>
    <d v="2026-01-28T02:29:00"/>
    <n v="99"/>
    <s v="UPI"/>
    <x v="0"/>
    <n v="24"/>
    <s v="Merchant_037"/>
    <s v="entertainment"/>
    <x v="2"/>
    <n v="5.0000000000000001E-3"/>
    <n v="0.495"/>
    <x v="19"/>
  </r>
  <r>
    <s v="TXN100028"/>
    <n v="254"/>
    <x v="22"/>
    <d v="2026-01-23T22:24:00"/>
    <n v="99"/>
    <s v="Wallet"/>
    <x v="0"/>
    <n v="31"/>
    <s v="Merchant_026"/>
    <s v="food_delivery"/>
    <x v="3"/>
    <n v="7.4999999999999997E-3"/>
    <n v="0.74249999999999994"/>
    <x v="20"/>
  </r>
  <r>
    <s v="TXN100029"/>
    <n v="3"/>
    <x v="23"/>
    <d v="2026-01-05T20:44:00"/>
    <n v="1499"/>
    <s v="UPI"/>
    <x v="0"/>
    <n v="99"/>
    <s v="Merchant_007"/>
    <s v="food_delivery"/>
    <x v="3"/>
    <n v="5.0000000000000001E-3"/>
    <n v="7.4950000000000001"/>
    <x v="14"/>
  </r>
  <r>
    <s v="TXN100030"/>
    <n v="266"/>
    <x v="24"/>
    <d v="2026-01-14T07:11:00"/>
    <n v="499"/>
    <s v="Card"/>
    <x v="0"/>
    <n v="6"/>
    <s v="Merchant_030"/>
    <s v="travel"/>
    <x v="0"/>
    <n v="1.2E-2"/>
    <n v="5.9880000000000004"/>
    <x v="12"/>
  </r>
  <r>
    <s v="TXN100031"/>
    <n v="63"/>
    <x v="24"/>
    <d v="2026-01-18T07:58:00"/>
    <n v="799"/>
    <s v="UPI"/>
    <x v="0"/>
    <n v="17"/>
    <s v="Merchant_030"/>
    <s v="travel"/>
    <x v="0"/>
    <n v="5.0000000000000001E-3"/>
    <n v="3.9950000000000001"/>
    <x v="15"/>
  </r>
  <r>
    <s v="TXN100032"/>
    <n v="272"/>
    <x v="25"/>
    <d v="2026-01-26T14:42:00"/>
    <n v="149"/>
    <s v="UPI"/>
    <x v="0"/>
    <n v="76"/>
    <s v="Merchant_036"/>
    <s v="entertainment"/>
    <x v="3"/>
    <n v="5.0000000000000001E-3"/>
    <n v="0.745"/>
    <x v="16"/>
  </r>
  <r>
    <s v="TXN100033"/>
    <n v="259"/>
    <x v="10"/>
    <d v="2026-01-11T14:39:00"/>
    <n v="49"/>
    <s v="Wallet"/>
    <x v="0"/>
    <n v="70"/>
    <s v="Merchant_028"/>
    <s v="ecommerce"/>
    <x v="2"/>
    <n v="7.4999999999999997E-3"/>
    <n v="0.36749999999999999"/>
    <x v="7"/>
  </r>
  <r>
    <s v="TXN100034"/>
    <n v="244"/>
    <x v="26"/>
    <d v="2026-01-15T05:47:00"/>
    <n v="299"/>
    <s v="Netbanking"/>
    <x v="0"/>
    <n v="33"/>
    <s v="Merchant_029"/>
    <s v="ecommerce"/>
    <x v="1"/>
    <n v="0.01"/>
    <n v="2.99"/>
    <x v="17"/>
  </r>
  <r>
    <s v="TXN100035"/>
    <n v="327"/>
    <x v="7"/>
    <d v="2026-01-25T07:53:00"/>
    <n v="149"/>
    <s v="Card"/>
    <x v="0"/>
    <n v="98"/>
    <s v="Merchant_018"/>
    <s v="grocery"/>
    <x v="0"/>
    <n v="1.2E-2"/>
    <n v="1.788"/>
    <x v="21"/>
  </r>
  <r>
    <s v="TXN100036"/>
    <n v="321"/>
    <x v="0"/>
    <d v="2026-01-25T16:31:00"/>
    <n v="49"/>
    <s v="UPI"/>
    <x v="0"/>
    <n v="35"/>
    <s v="Merchant_016"/>
    <s v="bill_payment"/>
    <x v="0"/>
    <n v="5.0000000000000001E-3"/>
    <n v="0.245"/>
    <x v="21"/>
  </r>
  <r>
    <s v="TXN100037"/>
    <n v="147"/>
    <x v="0"/>
    <d v="2026-01-15T02:45:00"/>
    <n v="2999"/>
    <s v="Card"/>
    <x v="0"/>
    <n v="34"/>
    <s v="Merchant_016"/>
    <s v="bill_payment"/>
    <x v="0"/>
    <n v="1.2E-2"/>
    <n v="35.988"/>
    <x v="17"/>
  </r>
  <r>
    <s v="TXN100038"/>
    <n v="277"/>
    <x v="18"/>
    <d v="2026-01-11T10:57:00"/>
    <n v="1499"/>
    <s v="Card"/>
    <x v="0"/>
    <n v="17"/>
    <s v="Merchant_006"/>
    <s v="food_delivery"/>
    <x v="2"/>
    <n v="1.2E-2"/>
    <n v="17.988"/>
    <x v="7"/>
  </r>
  <r>
    <s v="TXN100039"/>
    <n v="79"/>
    <x v="16"/>
    <d v="2026-01-05T07:24:00"/>
    <n v="1499"/>
    <s v="UPI"/>
    <x v="0"/>
    <n v="8"/>
    <s v="Merchant_014"/>
    <s v="grocery"/>
    <x v="3"/>
    <n v="5.0000000000000001E-3"/>
    <n v="7.4950000000000001"/>
    <x v="14"/>
  </r>
  <r>
    <s v="TXN100040"/>
    <n v="278"/>
    <x v="24"/>
    <d v="2026-01-14T13:21:00"/>
    <n v="1499"/>
    <s v="UPI"/>
    <x v="0"/>
    <n v="53"/>
    <s v="Merchant_030"/>
    <s v="travel"/>
    <x v="0"/>
    <n v="5.0000000000000001E-3"/>
    <n v="7.4950000000000001"/>
    <x v="12"/>
  </r>
  <r>
    <s v="TXN100041"/>
    <n v="216"/>
    <x v="14"/>
    <d v="2026-01-02T06:53:00"/>
    <n v="99"/>
    <s v="UPI"/>
    <x v="0"/>
    <n v="98"/>
    <s v="Merchant_025"/>
    <s v="travel"/>
    <x v="2"/>
    <n v="5.0000000000000001E-3"/>
    <n v="0.495"/>
    <x v="22"/>
  </r>
  <r>
    <s v="TXN100042"/>
    <n v="295"/>
    <x v="14"/>
    <d v="2026-01-19T22:01:00"/>
    <n v="1499"/>
    <s v="UPI"/>
    <x v="0"/>
    <n v="61"/>
    <s v="Merchant_025"/>
    <s v="travel"/>
    <x v="2"/>
    <n v="5.0000000000000001E-3"/>
    <n v="7.4950000000000001"/>
    <x v="23"/>
  </r>
  <r>
    <s v="TXN100043"/>
    <n v="200"/>
    <x v="1"/>
    <d v="2026-01-01T11:19:00"/>
    <n v="149"/>
    <s v="UPI"/>
    <x v="0"/>
    <n v="68"/>
    <s v="Merchant_027"/>
    <s v="ecommerce"/>
    <x v="1"/>
    <n v="5.0000000000000001E-3"/>
    <n v="0.745"/>
    <x v="9"/>
  </r>
  <r>
    <s v="TXN100044"/>
    <n v="309"/>
    <x v="19"/>
    <d v="2026-01-24T23:34:00"/>
    <n v="99"/>
    <s v="Netbanking"/>
    <x v="0"/>
    <n v="62"/>
    <s v="Merchant_015"/>
    <s v="travel"/>
    <x v="1"/>
    <n v="0.01"/>
    <n v="0.99"/>
    <x v="2"/>
  </r>
  <r>
    <s v="TXN100045"/>
    <n v="249"/>
    <x v="27"/>
    <d v="2026-01-08T08:27:00"/>
    <n v="299"/>
    <s v="Wallet"/>
    <x v="0"/>
    <n v="49"/>
    <s v="Merchant_002"/>
    <s v="grocery"/>
    <x v="0"/>
    <n v="7.4999999999999997E-3"/>
    <n v="2.2424999999999997"/>
    <x v="5"/>
  </r>
  <r>
    <s v="TXN100046"/>
    <n v="208"/>
    <x v="2"/>
    <d v="2026-01-11T21:43:00"/>
    <n v="4999"/>
    <s v="Netbanking"/>
    <x v="0"/>
    <n v="59"/>
    <s v="Merchant_011"/>
    <s v="ecommerce"/>
    <x v="1"/>
    <n v="0.01"/>
    <n v="49.99"/>
    <x v="7"/>
  </r>
  <r>
    <s v="TXN100047"/>
    <n v="274"/>
    <x v="27"/>
    <d v="2026-01-30T04:39:00"/>
    <n v="299"/>
    <s v="UPI"/>
    <x v="0"/>
    <n v="50"/>
    <s v="Merchant_002"/>
    <s v="grocery"/>
    <x v="0"/>
    <n v="5.0000000000000001E-3"/>
    <n v="1.4950000000000001"/>
    <x v="3"/>
  </r>
  <r>
    <s v="TXN100048"/>
    <n v="14"/>
    <x v="18"/>
    <d v="2026-01-19T18:42:00"/>
    <n v="49"/>
    <s v="Wallet"/>
    <x v="0"/>
    <n v="82"/>
    <s v="Merchant_006"/>
    <s v="food_delivery"/>
    <x v="2"/>
    <n v="7.4999999999999997E-3"/>
    <n v="0.36749999999999999"/>
    <x v="23"/>
  </r>
  <r>
    <s v="TXN100049"/>
    <n v="237"/>
    <x v="9"/>
    <d v="2026-01-14T04:55:00"/>
    <n v="49"/>
    <s v="UPI"/>
    <x v="0"/>
    <n v="6"/>
    <s v="Merchant_012"/>
    <s v="ecommerce"/>
    <x v="3"/>
    <n v="5.0000000000000001E-3"/>
    <n v="0.245"/>
    <x v="12"/>
  </r>
  <r>
    <s v="TXN100050"/>
    <n v="109"/>
    <x v="24"/>
    <d v="2026-01-09T12:20:00"/>
    <n v="99"/>
    <s v="UPI"/>
    <x v="0"/>
    <n v="41"/>
    <s v="Merchant_030"/>
    <s v="travel"/>
    <x v="0"/>
    <n v="5.0000000000000001E-3"/>
    <n v="0.495"/>
    <x v="10"/>
  </r>
  <r>
    <s v="TXN100051"/>
    <n v="216"/>
    <x v="28"/>
    <d v="2026-01-11T12:17:00"/>
    <n v="4999"/>
    <s v="UPI"/>
    <x v="0"/>
    <n v="10"/>
    <s v="Merchant_017"/>
    <s v="grocery"/>
    <x v="1"/>
    <n v="5.0000000000000001E-3"/>
    <n v="24.995000000000001"/>
    <x v="7"/>
  </r>
  <r>
    <s v="TXN100052"/>
    <n v="277"/>
    <x v="29"/>
    <d v="2026-01-16T00:47:00"/>
    <n v="799"/>
    <s v="UPI"/>
    <x v="0"/>
    <n v="44"/>
    <s v="Merchant_004"/>
    <s v="ecommerce"/>
    <x v="3"/>
    <n v="5.0000000000000001E-3"/>
    <n v="3.9950000000000001"/>
    <x v="24"/>
  </r>
  <r>
    <s v="TXN100053"/>
    <n v="334"/>
    <x v="4"/>
    <d v="2026-01-08T20:04:00"/>
    <n v="149"/>
    <s v="Wallet"/>
    <x v="0"/>
    <n v="96"/>
    <s v="Merchant_003"/>
    <s v="grocery"/>
    <x v="3"/>
    <n v="7.4999999999999997E-3"/>
    <n v="1.1174999999999999"/>
    <x v="5"/>
  </r>
  <r>
    <s v="TXN100054"/>
    <n v="11"/>
    <x v="12"/>
    <d v="2026-01-01T07:12:00"/>
    <n v="299"/>
    <s v="UPI"/>
    <x v="0"/>
    <n v="19"/>
    <s v="Merchant_040"/>
    <s v="entertainment"/>
    <x v="2"/>
    <n v="5.0000000000000001E-3"/>
    <n v="1.4950000000000001"/>
    <x v="9"/>
  </r>
  <r>
    <s v="TXN100055"/>
    <n v="343"/>
    <x v="30"/>
    <d v="2026-01-08T04:30:00"/>
    <n v="99"/>
    <s v="UPI"/>
    <x v="0"/>
    <n v="72"/>
    <s v="Merchant_008"/>
    <s v="food_delivery"/>
    <x v="1"/>
    <n v="5.0000000000000001E-3"/>
    <n v="0.495"/>
    <x v="5"/>
  </r>
  <r>
    <s v="TXN100056"/>
    <n v="132"/>
    <x v="31"/>
    <d v="2026-01-07T14:44:00"/>
    <n v="299"/>
    <s v="Wallet"/>
    <x v="0"/>
    <n v="21"/>
    <s v="Merchant_024"/>
    <s v="grocery"/>
    <x v="1"/>
    <n v="7.4999999999999997E-3"/>
    <n v="2.2424999999999997"/>
    <x v="25"/>
  </r>
  <r>
    <s v="TXN100057"/>
    <n v="59"/>
    <x v="2"/>
    <d v="2026-01-20T19:47:00"/>
    <n v="299"/>
    <s v="UPI"/>
    <x v="0"/>
    <n v="39"/>
    <s v="Merchant_011"/>
    <s v="ecommerce"/>
    <x v="1"/>
    <n v="5.0000000000000001E-3"/>
    <n v="1.4950000000000001"/>
    <x v="26"/>
  </r>
  <r>
    <s v="TXN100058"/>
    <n v="160"/>
    <x v="21"/>
    <d v="2026-01-04T18:01:00"/>
    <n v="49"/>
    <s v="Wallet"/>
    <x v="0"/>
    <n v="86"/>
    <s v="Merchant_037"/>
    <s v="entertainment"/>
    <x v="2"/>
    <n v="7.4999999999999997E-3"/>
    <n v="0.36749999999999999"/>
    <x v="1"/>
  </r>
  <r>
    <s v="TXN100059"/>
    <n v="102"/>
    <x v="32"/>
    <d v="2026-01-30T12:25:00"/>
    <n v="2999"/>
    <s v="UPI"/>
    <x v="0"/>
    <n v="75"/>
    <s v="Merchant_005"/>
    <s v="recharge"/>
    <x v="2"/>
    <n v="5.0000000000000001E-3"/>
    <n v="14.995000000000001"/>
    <x v="3"/>
  </r>
  <r>
    <s v="TXN100060"/>
    <n v="53"/>
    <x v="15"/>
    <d v="2026-01-23T20:15:00"/>
    <n v="49"/>
    <s v="Netbanking"/>
    <x v="0"/>
    <n v="87"/>
    <s v="Merchant_020"/>
    <s v="food_delivery"/>
    <x v="3"/>
    <n v="0.01"/>
    <n v="0.49"/>
    <x v="20"/>
  </r>
  <r>
    <s v="TXN100061"/>
    <n v="290"/>
    <x v="4"/>
    <d v="2026-01-20T03:50:00"/>
    <n v="99"/>
    <s v="Wallet"/>
    <x v="0"/>
    <n v="44"/>
    <s v="Merchant_003"/>
    <s v="grocery"/>
    <x v="3"/>
    <n v="7.4999999999999997E-3"/>
    <n v="0.74249999999999994"/>
    <x v="26"/>
  </r>
  <r>
    <s v="TXN100062"/>
    <n v="190"/>
    <x v="32"/>
    <d v="2026-01-18T13:42:00"/>
    <n v="299"/>
    <s v="UPI"/>
    <x v="0"/>
    <n v="64"/>
    <s v="Merchant_005"/>
    <s v="recharge"/>
    <x v="2"/>
    <n v="5.0000000000000001E-3"/>
    <n v="1.4950000000000001"/>
    <x v="15"/>
  </r>
  <r>
    <s v="TXN100063"/>
    <n v="216"/>
    <x v="33"/>
    <d v="2026-01-21T10:00:00"/>
    <n v="49"/>
    <s v="Card"/>
    <x v="0"/>
    <n v="13"/>
    <s v="Merchant_032"/>
    <s v="food_delivery"/>
    <x v="0"/>
    <n v="1.2E-2"/>
    <n v="0.58799999999999997"/>
    <x v="8"/>
  </r>
  <r>
    <s v="TXN100064"/>
    <n v="236"/>
    <x v="34"/>
    <d v="2026-01-14T11:40:00"/>
    <n v="499"/>
    <s v="UPI"/>
    <x v="0"/>
    <n v="55"/>
    <s v="Merchant_010"/>
    <s v="grocery"/>
    <x v="0"/>
    <n v="5.0000000000000001E-3"/>
    <n v="2.4950000000000001"/>
    <x v="12"/>
  </r>
  <r>
    <s v="TXN100065"/>
    <n v="334"/>
    <x v="7"/>
    <d v="2026-01-06T23:33:00"/>
    <n v="499"/>
    <s v="Card"/>
    <x v="0"/>
    <n v="78"/>
    <s v="Merchant_018"/>
    <s v="grocery"/>
    <x v="0"/>
    <n v="1.2E-2"/>
    <n v="5.9880000000000004"/>
    <x v="4"/>
  </r>
  <r>
    <s v="TXN100066"/>
    <n v="248"/>
    <x v="24"/>
    <d v="2026-01-26T17:49:00"/>
    <n v="799"/>
    <s v="Wallet"/>
    <x v="0"/>
    <n v="55"/>
    <s v="Merchant_030"/>
    <s v="travel"/>
    <x v="0"/>
    <n v="7.4999999999999997E-3"/>
    <n v="5.9924999999999997"/>
    <x v="16"/>
  </r>
  <r>
    <s v="TXN100067"/>
    <n v="138"/>
    <x v="17"/>
    <d v="2026-01-27T23:37:00"/>
    <n v="49"/>
    <s v="Card"/>
    <x v="0"/>
    <n v="31"/>
    <s v="Merchant_021"/>
    <s v="food_delivery"/>
    <x v="3"/>
    <n v="1.2E-2"/>
    <n v="0.58799999999999997"/>
    <x v="6"/>
  </r>
  <r>
    <s v="TXN100068"/>
    <n v="231"/>
    <x v="0"/>
    <d v="2026-01-27T02:17:00"/>
    <n v="49"/>
    <s v="UPI"/>
    <x v="0"/>
    <n v="96"/>
    <s v="Merchant_016"/>
    <s v="bill_payment"/>
    <x v="0"/>
    <n v="5.0000000000000001E-3"/>
    <n v="0.245"/>
    <x v="6"/>
  </r>
  <r>
    <s v="TXN100069"/>
    <n v="343"/>
    <x v="14"/>
    <d v="2026-01-15T18:39:00"/>
    <n v="49"/>
    <s v="UPI"/>
    <x v="0"/>
    <n v="43"/>
    <s v="Merchant_025"/>
    <s v="travel"/>
    <x v="2"/>
    <n v="5.0000000000000001E-3"/>
    <n v="0.245"/>
    <x v="17"/>
  </r>
  <r>
    <s v="TXN100070"/>
    <n v="167"/>
    <x v="9"/>
    <d v="2026-01-01T15:54:00"/>
    <n v="499"/>
    <s v="Wallet"/>
    <x v="0"/>
    <n v="62"/>
    <s v="Merchant_012"/>
    <s v="ecommerce"/>
    <x v="3"/>
    <n v="7.4999999999999997E-3"/>
    <n v="3.7424999999999997"/>
    <x v="9"/>
  </r>
  <r>
    <s v="TXN100071"/>
    <n v="133"/>
    <x v="3"/>
    <d v="2026-01-07T11:51:00"/>
    <n v="499"/>
    <s v="UPI"/>
    <x v="0"/>
    <n v="35"/>
    <s v="Merchant_022"/>
    <s v="travel"/>
    <x v="2"/>
    <n v="5.0000000000000001E-3"/>
    <n v="2.4950000000000001"/>
    <x v="25"/>
  </r>
  <r>
    <s v="TXN100072"/>
    <n v="142"/>
    <x v="25"/>
    <d v="2026-01-29T19:44:00"/>
    <n v="799"/>
    <s v="Wallet"/>
    <x v="0"/>
    <n v="1"/>
    <s v="Merchant_036"/>
    <s v="entertainment"/>
    <x v="3"/>
    <n v="7.4999999999999997E-3"/>
    <n v="5.9924999999999997"/>
    <x v="0"/>
  </r>
  <r>
    <s v="TXN100073"/>
    <n v="124"/>
    <x v="1"/>
    <d v="2026-01-17T06:05:00"/>
    <n v="499"/>
    <s v="Wallet"/>
    <x v="0"/>
    <n v="62"/>
    <s v="Merchant_027"/>
    <s v="ecommerce"/>
    <x v="1"/>
    <n v="7.4999999999999997E-3"/>
    <n v="3.7424999999999997"/>
    <x v="18"/>
  </r>
  <r>
    <s v="TXN100074"/>
    <n v="244"/>
    <x v="33"/>
    <d v="2026-01-18T07:44:00"/>
    <n v="149"/>
    <s v="UPI"/>
    <x v="0"/>
    <n v="57"/>
    <s v="Merchant_032"/>
    <s v="food_delivery"/>
    <x v="0"/>
    <n v="5.0000000000000001E-3"/>
    <n v="0.745"/>
    <x v="15"/>
  </r>
  <r>
    <s v="TXN100075"/>
    <n v="151"/>
    <x v="19"/>
    <d v="2026-01-26T00:05:00"/>
    <n v="4999"/>
    <s v="UPI"/>
    <x v="0"/>
    <n v="51"/>
    <s v="Merchant_015"/>
    <s v="travel"/>
    <x v="1"/>
    <n v="5.0000000000000001E-3"/>
    <n v="24.995000000000001"/>
    <x v="16"/>
  </r>
  <r>
    <s v="TXN100076"/>
    <n v="340"/>
    <x v="35"/>
    <d v="2026-01-23T07:19:00"/>
    <n v="499"/>
    <s v="Card"/>
    <x v="0"/>
    <n v="47"/>
    <s v="Merchant_038"/>
    <s v="grocery"/>
    <x v="3"/>
    <n v="1.2E-2"/>
    <n v="5.9880000000000004"/>
    <x v="20"/>
  </r>
  <r>
    <s v="TXN100077"/>
    <n v="177"/>
    <x v="10"/>
    <d v="2026-01-16T17:33:00"/>
    <n v="299"/>
    <s v="UPI"/>
    <x v="0"/>
    <n v="95"/>
    <s v="Merchant_028"/>
    <s v="ecommerce"/>
    <x v="2"/>
    <n v="5.0000000000000001E-3"/>
    <n v="1.4950000000000001"/>
    <x v="24"/>
  </r>
  <r>
    <s v="TXN100078"/>
    <n v="233"/>
    <x v="7"/>
    <d v="2026-01-18T10:22:00"/>
    <n v="499"/>
    <s v="UPI"/>
    <x v="0"/>
    <n v="39"/>
    <s v="Merchant_018"/>
    <s v="grocery"/>
    <x v="0"/>
    <n v="5.0000000000000001E-3"/>
    <n v="2.4950000000000001"/>
    <x v="15"/>
  </r>
  <r>
    <s v="TXN100079"/>
    <n v="99"/>
    <x v="17"/>
    <d v="2026-01-09T07:07:00"/>
    <n v="499"/>
    <s v="UPI"/>
    <x v="0"/>
    <n v="15"/>
    <s v="Merchant_021"/>
    <s v="food_delivery"/>
    <x v="3"/>
    <n v="5.0000000000000001E-3"/>
    <n v="2.4950000000000001"/>
    <x v="10"/>
  </r>
  <r>
    <s v="TXN100080"/>
    <n v="95"/>
    <x v="6"/>
    <d v="2026-01-24T17:48:00"/>
    <n v="2999"/>
    <s v="Netbanking"/>
    <x v="1"/>
    <n v="27"/>
    <s v="Merchant_013"/>
    <s v="travel"/>
    <x v="3"/>
    <n v="0.01"/>
    <n v="29.990000000000002"/>
    <x v="2"/>
  </r>
  <r>
    <s v="TXN100081"/>
    <n v="302"/>
    <x v="36"/>
    <d v="2026-01-24T15:17:00"/>
    <n v="49"/>
    <s v="Netbanking"/>
    <x v="0"/>
    <n v="76"/>
    <s v="Merchant_034"/>
    <s v="travel"/>
    <x v="2"/>
    <n v="0.01"/>
    <n v="0.49"/>
    <x v="2"/>
  </r>
  <r>
    <s v="TXN100082"/>
    <n v="100"/>
    <x v="13"/>
    <d v="2026-01-10T03:53:00"/>
    <n v="2999"/>
    <s v="Netbanking"/>
    <x v="0"/>
    <n v="29"/>
    <s v="Merchant_019"/>
    <s v="grocery"/>
    <x v="1"/>
    <n v="0.01"/>
    <n v="29.990000000000002"/>
    <x v="27"/>
  </r>
  <r>
    <s v="TXN100083"/>
    <n v="8"/>
    <x v="8"/>
    <d v="2026-01-12T05:19:00"/>
    <n v="99"/>
    <s v="UPI"/>
    <x v="0"/>
    <n v="16"/>
    <s v="Merchant_035"/>
    <s v="recharge"/>
    <x v="3"/>
    <n v="5.0000000000000001E-3"/>
    <n v="0.495"/>
    <x v="28"/>
  </r>
  <r>
    <s v="TXN100084"/>
    <n v="284"/>
    <x v="13"/>
    <d v="2026-01-09T01:03:00"/>
    <n v="99"/>
    <s v="UPI"/>
    <x v="0"/>
    <n v="89"/>
    <s v="Merchant_019"/>
    <s v="grocery"/>
    <x v="1"/>
    <n v="5.0000000000000001E-3"/>
    <n v="0.495"/>
    <x v="10"/>
  </r>
  <r>
    <s v="TXN100085"/>
    <n v="252"/>
    <x v="23"/>
    <d v="2026-01-05T20:55:00"/>
    <n v="2999"/>
    <s v="Wallet"/>
    <x v="0"/>
    <n v="1"/>
    <s v="Merchant_007"/>
    <s v="food_delivery"/>
    <x v="3"/>
    <n v="7.4999999999999997E-3"/>
    <n v="22.4925"/>
    <x v="14"/>
  </r>
  <r>
    <s v="TXN100086"/>
    <n v="246"/>
    <x v="26"/>
    <d v="2026-01-19T09:30:00"/>
    <n v="49"/>
    <s v="Wallet"/>
    <x v="0"/>
    <n v="43"/>
    <s v="Merchant_029"/>
    <s v="ecommerce"/>
    <x v="1"/>
    <n v="7.4999999999999997E-3"/>
    <n v="0.36749999999999999"/>
    <x v="23"/>
  </r>
  <r>
    <s v="TXN100087"/>
    <n v="245"/>
    <x v="30"/>
    <d v="2026-01-06T01:16:00"/>
    <n v="49"/>
    <s v="UPI"/>
    <x v="2"/>
    <n v="8"/>
    <s v="Merchant_008"/>
    <s v="food_delivery"/>
    <x v="1"/>
    <n v="5.0000000000000001E-3"/>
    <n v="0.245"/>
    <x v="4"/>
  </r>
  <r>
    <s v="TXN100088"/>
    <n v="296"/>
    <x v="29"/>
    <d v="2026-01-13T15:04:00"/>
    <n v="799"/>
    <s v="Wallet"/>
    <x v="0"/>
    <n v="19"/>
    <s v="Merchant_004"/>
    <s v="ecommerce"/>
    <x v="3"/>
    <n v="7.4999999999999997E-3"/>
    <n v="5.9924999999999997"/>
    <x v="11"/>
  </r>
  <r>
    <s v="TXN100089"/>
    <n v="44"/>
    <x v="0"/>
    <d v="2026-01-05T18:19:00"/>
    <n v="149"/>
    <s v="UPI"/>
    <x v="0"/>
    <n v="15"/>
    <s v="Merchant_016"/>
    <s v="bill_payment"/>
    <x v="0"/>
    <n v="5.0000000000000001E-3"/>
    <n v="0.745"/>
    <x v="14"/>
  </r>
  <r>
    <s v="TXN100090"/>
    <n v="306"/>
    <x v="12"/>
    <d v="2026-01-18T13:38:00"/>
    <n v="799"/>
    <s v="Card"/>
    <x v="0"/>
    <n v="28"/>
    <s v="Merchant_040"/>
    <s v="entertainment"/>
    <x v="2"/>
    <n v="1.2E-2"/>
    <n v="9.588000000000001"/>
    <x v="15"/>
  </r>
  <r>
    <s v="TXN100091"/>
    <n v="231"/>
    <x v="26"/>
    <d v="2026-01-25T16:24:00"/>
    <n v="299"/>
    <s v="UPI"/>
    <x v="0"/>
    <n v="38"/>
    <s v="Merchant_029"/>
    <s v="ecommerce"/>
    <x v="1"/>
    <n v="5.0000000000000001E-3"/>
    <n v="1.4950000000000001"/>
    <x v="21"/>
  </r>
  <r>
    <s v="TXN100092"/>
    <n v="157"/>
    <x v="21"/>
    <d v="2026-01-28T18:27:00"/>
    <n v="499"/>
    <s v="Wallet"/>
    <x v="0"/>
    <n v="79"/>
    <s v="Merchant_037"/>
    <s v="entertainment"/>
    <x v="2"/>
    <n v="7.4999999999999997E-3"/>
    <n v="3.7424999999999997"/>
    <x v="19"/>
  </r>
  <r>
    <s v="TXN100093"/>
    <n v="51"/>
    <x v="16"/>
    <d v="2026-01-02T19:47:00"/>
    <n v="1499"/>
    <s v="UPI"/>
    <x v="0"/>
    <n v="80"/>
    <s v="Merchant_014"/>
    <s v="grocery"/>
    <x v="3"/>
    <n v="5.0000000000000001E-3"/>
    <n v="7.4950000000000001"/>
    <x v="22"/>
  </r>
  <r>
    <s v="TXN100094"/>
    <n v="42"/>
    <x v="2"/>
    <d v="2026-01-07T08:42:00"/>
    <n v="49"/>
    <s v="Wallet"/>
    <x v="0"/>
    <n v="30"/>
    <s v="Merchant_011"/>
    <s v="ecommerce"/>
    <x v="1"/>
    <n v="7.4999999999999997E-3"/>
    <n v="0.36749999999999999"/>
    <x v="25"/>
  </r>
  <r>
    <s v="TXN100095"/>
    <n v="81"/>
    <x v="37"/>
    <d v="2026-01-06T17:04:00"/>
    <n v="149"/>
    <s v="UPI"/>
    <x v="0"/>
    <n v="52"/>
    <s v="Merchant_001"/>
    <s v="ecommerce"/>
    <x v="2"/>
    <n v="5.0000000000000001E-3"/>
    <n v="0.745"/>
    <x v="4"/>
  </r>
  <r>
    <s v="TXN100096"/>
    <n v="241"/>
    <x v="13"/>
    <d v="2026-01-15T22:38:00"/>
    <n v="299"/>
    <s v="UPI"/>
    <x v="0"/>
    <n v="4"/>
    <s v="Merchant_019"/>
    <s v="grocery"/>
    <x v="1"/>
    <n v="5.0000000000000001E-3"/>
    <n v="1.4950000000000001"/>
    <x v="17"/>
  </r>
  <r>
    <s v="TXN100097"/>
    <n v="145"/>
    <x v="24"/>
    <d v="2026-01-08T09:45:00"/>
    <n v="799"/>
    <s v="UPI"/>
    <x v="0"/>
    <n v="9"/>
    <s v="Merchant_030"/>
    <s v="travel"/>
    <x v="0"/>
    <n v="5.0000000000000001E-3"/>
    <n v="3.9950000000000001"/>
    <x v="5"/>
  </r>
  <r>
    <s v="TXN100098"/>
    <n v="136"/>
    <x v="35"/>
    <d v="2026-01-22T07:59:00"/>
    <n v="299"/>
    <s v="Card"/>
    <x v="0"/>
    <n v="84"/>
    <s v="Merchant_038"/>
    <s v="grocery"/>
    <x v="3"/>
    <n v="1.2E-2"/>
    <n v="3.5880000000000001"/>
    <x v="13"/>
  </r>
  <r>
    <s v="TXN100099"/>
    <n v="59"/>
    <x v="8"/>
    <d v="2026-01-26T06:27:00"/>
    <n v="499"/>
    <s v="UPI"/>
    <x v="0"/>
    <n v="28"/>
    <s v="Merchant_035"/>
    <s v="recharge"/>
    <x v="3"/>
    <n v="5.0000000000000001E-3"/>
    <n v="2.4950000000000001"/>
    <x v="16"/>
  </r>
  <r>
    <s v="TXN100100"/>
    <n v="137"/>
    <x v="34"/>
    <d v="2026-01-21T04:58:00"/>
    <n v="299"/>
    <s v="UPI"/>
    <x v="0"/>
    <n v="9"/>
    <s v="Merchant_010"/>
    <s v="grocery"/>
    <x v="0"/>
    <n v="5.0000000000000001E-3"/>
    <n v="1.4950000000000001"/>
    <x v="8"/>
  </r>
  <r>
    <s v="TXN100101"/>
    <n v="158"/>
    <x v="38"/>
    <d v="2026-01-02T05:50:00"/>
    <n v="499"/>
    <s v="Netbanking"/>
    <x v="0"/>
    <n v="95"/>
    <s v="Merchant_039"/>
    <s v="entertainment"/>
    <x v="1"/>
    <n v="0.01"/>
    <n v="4.99"/>
    <x v="22"/>
  </r>
  <r>
    <s v="TXN100102"/>
    <n v="148"/>
    <x v="26"/>
    <d v="2026-01-27T18:58:00"/>
    <n v="99"/>
    <s v="Card"/>
    <x v="0"/>
    <n v="15"/>
    <s v="Merchant_029"/>
    <s v="ecommerce"/>
    <x v="1"/>
    <n v="1.2E-2"/>
    <n v="1.1879999999999999"/>
    <x v="6"/>
  </r>
  <r>
    <s v="TXN100103"/>
    <n v="207"/>
    <x v="7"/>
    <d v="2026-01-15T22:19:00"/>
    <n v="149"/>
    <s v="UPI"/>
    <x v="0"/>
    <n v="64"/>
    <s v="Merchant_018"/>
    <s v="grocery"/>
    <x v="0"/>
    <n v="5.0000000000000001E-3"/>
    <n v="0.745"/>
    <x v="17"/>
  </r>
  <r>
    <s v="TXN100104"/>
    <n v="42"/>
    <x v="38"/>
    <d v="2026-01-18T15:28:00"/>
    <n v="2999"/>
    <s v="Card"/>
    <x v="0"/>
    <n v="5"/>
    <s v="Merchant_039"/>
    <s v="entertainment"/>
    <x v="1"/>
    <n v="1.2E-2"/>
    <n v="35.988"/>
    <x v="15"/>
  </r>
  <r>
    <s v="TXN100105"/>
    <n v="166"/>
    <x v="38"/>
    <d v="2026-01-29T13:47:00"/>
    <n v="149"/>
    <s v="UPI"/>
    <x v="0"/>
    <n v="32"/>
    <s v="Merchant_039"/>
    <s v="entertainment"/>
    <x v="1"/>
    <n v="5.0000000000000001E-3"/>
    <n v="0.745"/>
    <x v="0"/>
  </r>
  <r>
    <s v="TXN100106"/>
    <n v="346"/>
    <x v="21"/>
    <d v="2026-01-01T02:14:00"/>
    <n v="99"/>
    <s v="UPI"/>
    <x v="0"/>
    <n v="75"/>
    <s v="Merchant_037"/>
    <s v="entertainment"/>
    <x v="2"/>
    <n v="5.0000000000000001E-3"/>
    <n v="0.495"/>
    <x v="9"/>
  </r>
  <r>
    <s v="TXN100107"/>
    <n v="138"/>
    <x v="21"/>
    <d v="2026-01-01T21:52:00"/>
    <n v="499"/>
    <s v="UPI"/>
    <x v="0"/>
    <n v="5"/>
    <s v="Merchant_037"/>
    <s v="entertainment"/>
    <x v="2"/>
    <n v="5.0000000000000001E-3"/>
    <n v="2.4950000000000001"/>
    <x v="9"/>
  </r>
  <r>
    <s v="TXN100108"/>
    <n v="266"/>
    <x v="26"/>
    <d v="2026-01-25T05:30:00"/>
    <n v="499"/>
    <s v="Wallet"/>
    <x v="1"/>
    <n v="35"/>
    <s v="Merchant_029"/>
    <s v="ecommerce"/>
    <x v="1"/>
    <n v="7.4999999999999997E-3"/>
    <n v="3.7424999999999997"/>
    <x v="21"/>
  </r>
  <r>
    <s v="TXN100109"/>
    <n v="326"/>
    <x v="33"/>
    <d v="2026-01-06T18:27:00"/>
    <n v="149"/>
    <s v="UPI"/>
    <x v="0"/>
    <n v="11"/>
    <s v="Merchant_032"/>
    <s v="food_delivery"/>
    <x v="0"/>
    <n v="5.0000000000000001E-3"/>
    <n v="0.745"/>
    <x v="4"/>
  </r>
  <r>
    <s v="TXN100110"/>
    <n v="171"/>
    <x v="17"/>
    <d v="2026-01-16T11:26:00"/>
    <n v="799"/>
    <s v="UPI"/>
    <x v="0"/>
    <n v="85"/>
    <s v="Merchant_021"/>
    <s v="food_delivery"/>
    <x v="3"/>
    <n v="5.0000000000000001E-3"/>
    <n v="3.9950000000000001"/>
    <x v="24"/>
  </r>
  <r>
    <s v="TXN100111"/>
    <n v="211"/>
    <x v="33"/>
    <d v="2026-01-04T05:21:00"/>
    <n v="49"/>
    <s v="UPI"/>
    <x v="0"/>
    <n v="36"/>
    <s v="Merchant_032"/>
    <s v="food_delivery"/>
    <x v="0"/>
    <n v="5.0000000000000001E-3"/>
    <n v="0.245"/>
    <x v="1"/>
  </r>
  <r>
    <s v="TXN100112"/>
    <n v="282"/>
    <x v="4"/>
    <d v="2026-01-22T12:52:00"/>
    <n v="499"/>
    <s v="UPI"/>
    <x v="0"/>
    <n v="58"/>
    <s v="Merchant_003"/>
    <s v="grocery"/>
    <x v="3"/>
    <n v="5.0000000000000001E-3"/>
    <n v="2.4950000000000001"/>
    <x v="13"/>
  </r>
  <r>
    <s v="TXN100113"/>
    <n v="166"/>
    <x v="30"/>
    <d v="2026-01-03T10:16:00"/>
    <n v="299"/>
    <s v="UPI"/>
    <x v="0"/>
    <n v="98"/>
    <s v="Merchant_008"/>
    <s v="food_delivery"/>
    <x v="1"/>
    <n v="5.0000000000000001E-3"/>
    <n v="1.4950000000000001"/>
    <x v="29"/>
  </r>
  <r>
    <s v="TXN100114"/>
    <n v="1"/>
    <x v="8"/>
    <d v="2026-01-13T16:52:00"/>
    <n v="149"/>
    <s v="UPI"/>
    <x v="0"/>
    <n v="59"/>
    <s v="Merchant_035"/>
    <s v="recharge"/>
    <x v="3"/>
    <n v="5.0000000000000001E-3"/>
    <n v="0.745"/>
    <x v="11"/>
  </r>
  <r>
    <s v="TXN100115"/>
    <n v="266"/>
    <x v="31"/>
    <d v="2026-01-14T01:12:00"/>
    <n v="499"/>
    <s v="UPI"/>
    <x v="0"/>
    <n v="79"/>
    <s v="Merchant_024"/>
    <s v="grocery"/>
    <x v="1"/>
    <n v="5.0000000000000001E-3"/>
    <n v="2.4950000000000001"/>
    <x v="12"/>
  </r>
  <r>
    <s v="TXN100116"/>
    <n v="227"/>
    <x v="29"/>
    <d v="2026-01-25T15:40:00"/>
    <n v="499"/>
    <s v="UPI"/>
    <x v="0"/>
    <n v="26"/>
    <s v="Merchant_004"/>
    <s v="ecommerce"/>
    <x v="3"/>
    <n v="5.0000000000000001E-3"/>
    <n v="2.4950000000000001"/>
    <x v="21"/>
  </r>
  <r>
    <s v="TXN100117"/>
    <n v="148"/>
    <x v="26"/>
    <d v="2026-01-09T17:08:00"/>
    <n v="499"/>
    <s v="UPI"/>
    <x v="0"/>
    <n v="89"/>
    <s v="Merchant_029"/>
    <s v="ecommerce"/>
    <x v="1"/>
    <n v="5.0000000000000001E-3"/>
    <n v="2.4950000000000001"/>
    <x v="10"/>
  </r>
  <r>
    <s v="TXN100118"/>
    <n v="323"/>
    <x v="38"/>
    <d v="2026-01-16T03:01:00"/>
    <n v="499"/>
    <s v="UPI"/>
    <x v="0"/>
    <n v="30"/>
    <s v="Merchant_039"/>
    <s v="entertainment"/>
    <x v="1"/>
    <n v="5.0000000000000001E-3"/>
    <n v="2.4950000000000001"/>
    <x v="24"/>
  </r>
  <r>
    <s v="TXN100119"/>
    <n v="283"/>
    <x v="37"/>
    <d v="2026-01-23T05:19:00"/>
    <n v="2999"/>
    <s v="Wallet"/>
    <x v="0"/>
    <n v="70"/>
    <s v="Merchant_001"/>
    <s v="ecommerce"/>
    <x v="2"/>
    <n v="7.4999999999999997E-3"/>
    <n v="22.4925"/>
    <x v="20"/>
  </r>
  <r>
    <s v="TXN100120"/>
    <n v="59"/>
    <x v="24"/>
    <d v="2026-01-14T02:14:00"/>
    <n v="499"/>
    <s v="UPI"/>
    <x v="0"/>
    <n v="15"/>
    <s v="Merchant_030"/>
    <s v="travel"/>
    <x v="0"/>
    <n v="5.0000000000000001E-3"/>
    <n v="2.4950000000000001"/>
    <x v="12"/>
  </r>
  <r>
    <s v="TXN100121"/>
    <n v="150"/>
    <x v="11"/>
    <d v="2026-01-21T04:31:00"/>
    <n v="2999"/>
    <s v="UPI"/>
    <x v="0"/>
    <n v="90"/>
    <s v="Merchant_033"/>
    <s v="bill_payment"/>
    <x v="3"/>
    <n v="5.0000000000000001E-3"/>
    <n v="14.995000000000001"/>
    <x v="8"/>
  </r>
  <r>
    <s v="TXN100122"/>
    <n v="248"/>
    <x v="20"/>
    <d v="2026-01-09T13:53:00"/>
    <n v="1499"/>
    <s v="UPI"/>
    <x v="1"/>
    <n v="31"/>
    <s v="Merchant_031"/>
    <s v="bill_payment"/>
    <x v="3"/>
    <n v="5.0000000000000001E-3"/>
    <n v="7.4950000000000001"/>
    <x v="10"/>
  </r>
  <r>
    <s v="TXN100123"/>
    <n v="197"/>
    <x v="6"/>
    <d v="2026-01-15T17:09:00"/>
    <n v="49"/>
    <s v="UPI"/>
    <x v="0"/>
    <n v="76"/>
    <s v="Merchant_013"/>
    <s v="travel"/>
    <x v="3"/>
    <n v="5.0000000000000001E-3"/>
    <n v="0.245"/>
    <x v="17"/>
  </r>
  <r>
    <s v="TXN100124"/>
    <n v="70"/>
    <x v="32"/>
    <d v="2026-01-17T23:56:00"/>
    <n v="499"/>
    <s v="UPI"/>
    <x v="0"/>
    <n v="35"/>
    <s v="Merchant_005"/>
    <s v="recharge"/>
    <x v="2"/>
    <n v="5.0000000000000001E-3"/>
    <n v="2.4950000000000001"/>
    <x v="18"/>
  </r>
  <r>
    <s v="TXN100125"/>
    <n v="260"/>
    <x v="7"/>
    <d v="2026-01-25T13:21:00"/>
    <n v="1499"/>
    <s v="UPI"/>
    <x v="0"/>
    <n v="0"/>
    <s v="Merchant_018"/>
    <s v="grocery"/>
    <x v="0"/>
    <n v="5.0000000000000001E-3"/>
    <n v="7.4950000000000001"/>
    <x v="21"/>
  </r>
  <r>
    <s v="TXN100126"/>
    <n v="301"/>
    <x v="35"/>
    <d v="2026-01-10T23:19:00"/>
    <n v="99"/>
    <s v="UPI"/>
    <x v="0"/>
    <n v="84"/>
    <s v="Merchant_038"/>
    <s v="grocery"/>
    <x v="3"/>
    <n v="5.0000000000000001E-3"/>
    <n v="0.495"/>
    <x v="27"/>
  </r>
  <r>
    <s v="TXN100127"/>
    <n v="276"/>
    <x v="20"/>
    <d v="2026-01-16T04:28:00"/>
    <n v="499"/>
    <s v="Card"/>
    <x v="0"/>
    <n v="44"/>
    <s v="Merchant_031"/>
    <s v="bill_payment"/>
    <x v="3"/>
    <n v="1.2E-2"/>
    <n v="5.9880000000000004"/>
    <x v="24"/>
  </r>
  <r>
    <s v="TXN100128"/>
    <n v="279"/>
    <x v="14"/>
    <d v="2026-01-11T17:48:00"/>
    <n v="799"/>
    <s v="UPI"/>
    <x v="0"/>
    <n v="58"/>
    <s v="Merchant_025"/>
    <s v="travel"/>
    <x v="2"/>
    <n v="5.0000000000000001E-3"/>
    <n v="3.9950000000000001"/>
    <x v="7"/>
  </r>
  <r>
    <s v="TXN100129"/>
    <n v="97"/>
    <x v="0"/>
    <d v="2026-01-30T10:55:00"/>
    <n v="799"/>
    <s v="Card"/>
    <x v="0"/>
    <n v="73"/>
    <s v="Merchant_016"/>
    <s v="bill_payment"/>
    <x v="0"/>
    <n v="1.2E-2"/>
    <n v="9.588000000000001"/>
    <x v="3"/>
  </r>
  <r>
    <s v="TXN100130"/>
    <n v="211"/>
    <x v="4"/>
    <d v="2026-01-13T07:54:00"/>
    <n v="149"/>
    <s v="UPI"/>
    <x v="2"/>
    <n v="40"/>
    <s v="Merchant_003"/>
    <s v="grocery"/>
    <x v="3"/>
    <n v="5.0000000000000001E-3"/>
    <n v="0.745"/>
    <x v="11"/>
  </r>
  <r>
    <s v="TXN100131"/>
    <n v="196"/>
    <x v="14"/>
    <d v="2026-01-24T15:45:00"/>
    <n v="149"/>
    <s v="Netbanking"/>
    <x v="0"/>
    <n v="84"/>
    <s v="Merchant_025"/>
    <s v="travel"/>
    <x v="2"/>
    <n v="0.01"/>
    <n v="1.49"/>
    <x v="2"/>
  </r>
  <r>
    <s v="TXN100132"/>
    <n v="254"/>
    <x v="4"/>
    <d v="2026-01-26T20:09:00"/>
    <n v="149"/>
    <s v="Card"/>
    <x v="0"/>
    <n v="16"/>
    <s v="Merchant_003"/>
    <s v="grocery"/>
    <x v="3"/>
    <n v="1.2E-2"/>
    <n v="1.788"/>
    <x v="16"/>
  </r>
  <r>
    <s v="TXN100133"/>
    <n v="52"/>
    <x v="26"/>
    <d v="2026-01-17T18:21:00"/>
    <n v="49"/>
    <s v="Netbanking"/>
    <x v="0"/>
    <n v="12"/>
    <s v="Merchant_029"/>
    <s v="ecommerce"/>
    <x v="1"/>
    <n v="0.01"/>
    <n v="0.49"/>
    <x v="18"/>
  </r>
  <r>
    <s v="TXN100134"/>
    <n v="74"/>
    <x v="1"/>
    <d v="2026-01-17T14:00:00"/>
    <n v="799"/>
    <s v="UPI"/>
    <x v="0"/>
    <n v="83"/>
    <s v="Merchant_027"/>
    <s v="ecommerce"/>
    <x v="1"/>
    <n v="5.0000000000000001E-3"/>
    <n v="3.9950000000000001"/>
    <x v="18"/>
  </r>
  <r>
    <s v="TXN100135"/>
    <n v="136"/>
    <x v="3"/>
    <d v="2026-01-05T02:30:00"/>
    <n v="149"/>
    <s v="UPI"/>
    <x v="0"/>
    <n v="79"/>
    <s v="Merchant_022"/>
    <s v="travel"/>
    <x v="2"/>
    <n v="5.0000000000000001E-3"/>
    <n v="0.745"/>
    <x v="14"/>
  </r>
  <r>
    <s v="TXN100136"/>
    <n v="42"/>
    <x v="3"/>
    <d v="2026-01-23T12:41:00"/>
    <n v="49"/>
    <s v="UPI"/>
    <x v="0"/>
    <n v="86"/>
    <s v="Merchant_022"/>
    <s v="travel"/>
    <x v="2"/>
    <n v="5.0000000000000001E-3"/>
    <n v="0.245"/>
    <x v="20"/>
  </r>
  <r>
    <s v="TXN100137"/>
    <n v="163"/>
    <x v="33"/>
    <d v="2026-01-28T17:24:00"/>
    <n v="2999"/>
    <s v="Wallet"/>
    <x v="1"/>
    <n v="69"/>
    <s v="Merchant_032"/>
    <s v="food_delivery"/>
    <x v="0"/>
    <n v="7.4999999999999997E-3"/>
    <n v="22.4925"/>
    <x v="19"/>
  </r>
  <r>
    <s v="TXN100138"/>
    <n v="121"/>
    <x v="13"/>
    <d v="2026-01-02T19:04:00"/>
    <n v="149"/>
    <s v="UPI"/>
    <x v="0"/>
    <n v="29"/>
    <s v="Merchant_019"/>
    <s v="grocery"/>
    <x v="1"/>
    <n v="5.0000000000000001E-3"/>
    <n v="0.745"/>
    <x v="22"/>
  </r>
  <r>
    <s v="TXN100139"/>
    <n v="51"/>
    <x v="23"/>
    <d v="2026-01-24T02:27:00"/>
    <n v="499"/>
    <s v="Card"/>
    <x v="0"/>
    <n v="56"/>
    <s v="Merchant_007"/>
    <s v="food_delivery"/>
    <x v="3"/>
    <n v="1.2E-2"/>
    <n v="5.9880000000000004"/>
    <x v="2"/>
  </r>
  <r>
    <s v="TXN100140"/>
    <n v="15"/>
    <x v="4"/>
    <d v="2026-01-06T22:19:00"/>
    <n v="799"/>
    <s v="UPI"/>
    <x v="0"/>
    <n v="41"/>
    <s v="Merchant_003"/>
    <s v="grocery"/>
    <x v="3"/>
    <n v="5.0000000000000001E-3"/>
    <n v="3.9950000000000001"/>
    <x v="4"/>
  </r>
  <r>
    <s v="TXN100141"/>
    <n v="184"/>
    <x v="31"/>
    <d v="2026-01-26T01:18:00"/>
    <n v="49"/>
    <s v="UPI"/>
    <x v="0"/>
    <n v="55"/>
    <s v="Merchant_024"/>
    <s v="grocery"/>
    <x v="1"/>
    <n v="5.0000000000000001E-3"/>
    <n v="0.245"/>
    <x v="16"/>
  </r>
  <r>
    <s v="TXN100142"/>
    <n v="211"/>
    <x v="21"/>
    <d v="2026-01-05T07:33:00"/>
    <n v="1499"/>
    <s v="UPI"/>
    <x v="0"/>
    <n v="87"/>
    <s v="Merchant_037"/>
    <s v="entertainment"/>
    <x v="2"/>
    <n v="5.0000000000000001E-3"/>
    <n v="7.4950000000000001"/>
    <x v="14"/>
  </r>
  <r>
    <s v="TXN100143"/>
    <n v="90"/>
    <x v="18"/>
    <d v="2026-01-26T05:10:00"/>
    <n v="49"/>
    <s v="Card"/>
    <x v="0"/>
    <n v="78"/>
    <s v="Merchant_006"/>
    <s v="food_delivery"/>
    <x v="2"/>
    <n v="1.2E-2"/>
    <n v="0.58799999999999997"/>
    <x v="16"/>
  </r>
  <r>
    <s v="TXN100144"/>
    <n v="350"/>
    <x v="0"/>
    <d v="2026-01-28T12:39:00"/>
    <n v="49"/>
    <s v="UPI"/>
    <x v="0"/>
    <n v="63"/>
    <s v="Merchant_016"/>
    <s v="bill_payment"/>
    <x v="0"/>
    <n v="5.0000000000000001E-3"/>
    <n v="0.245"/>
    <x v="19"/>
  </r>
  <r>
    <s v="TXN100145"/>
    <n v="119"/>
    <x v="24"/>
    <d v="2026-01-30T18:09:00"/>
    <n v="49"/>
    <s v="Card"/>
    <x v="0"/>
    <n v="81"/>
    <s v="Merchant_030"/>
    <s v="travel"/>
    <x v="0"/>
    <n v="1.2E-2"/>
    <n v="0.58799999999999997"/>
    <x v="3"/>
  </r>
  <r>
    <s v="TXN100146"/>
    <n v="342"/>
    <x v="37"/>
    <d v="2026-01-09T14:16:00"/>
    <n v="49"/>
    <s v="UPI"/>
    <x v="0"/>
    <n v="59"/>
    <s v="Merchant_001"/>
    <s v="ecommerce"/>
    <x v="2"/>
    <n v="5.0000000000000001E-3"/>
    <n v="0.245"/>
    <x v="10"/>
  </r>
  <r>
    <s v="TXN100147"/>
    <n v="280"/>
    <x v="2"/>
    <d v="2026-01-29T09:43:00"/>
    <n v="149"/>
    <s v="UPI"/>
    <x v="2"/>
    <n v="9"/>
    <s v="Merchant_011"/>
    <s v="ecommerce"/>
    <x v="1"/>
    <n v="5.0000000000000001E-3"/>
    <n v="0.745"/>
    <x v="0"/>
  </r>
  <r>
    <s v="TXN100148"/>
    <n v="154"/>
    <x v="10"/>
    <d v="2026-01-15T11:37:00"/>
    <n v="2999"/>
    <s v="Netbanking"/>
    <x v="0"/>
    <n v="88"/>
    <s v="Merchant_028"/>
    <s v="ecommerce"/>
    <x v="2"/>
    <n v="0.01"/>
    <n v="29.990000000000002"/>
    <x v="17"/>
  </r>
  <r>
    <s v="TXN100149"/>
    <n v="155"/>
    <x v="6"/>
    <d v="2026-01-09T14:54:00"/>
    <n v="149"/>
    <s v="UPI"/>
    <x v="0"/>
    <n v="49"/>
    <s v="Merchant_013"/>
    <s v="travel"/>
    <x v="3"/>
    <n v="5.0000000000000001E-3"/>
    <n v="0.745"/>
    <x v="10"/>
  </r>
  <r>
    <s v="TXN100150"/>
    <n v="122"/>
    <x v="14"/>
    <d v="2026-01-28T15:06:00"/>
    <n v="299"/>
    <s v="UPI"/>
    <x v="0"/>
    <n v="73"/>
    <s v="Merchant_025"/>
    <s v="travel"/>
    <x v="2"/>
    <n v="5.0000000000000001E-3"/>
    <n v="1.4950000000000001"/>
    <x v="19"/>
  </r>
  <r>
    <s v="TXN100151"/>
    <n v="152"/>
    <x v="27"/>
    <d v="2026-01-12T18:18:00"/>
    <n v="49"/>
    <s v="UPI"/>
    <x v="0"/>
    <n v="84"/>
    <s v="Merchant_002"/>
    <s v="grocery"/>
    <x v="0"/>
    <n v="5.0000000000000001E-3"/>
    <n v="0.245"/>
    <x v="28"/>
  </r>
  <r>
    <s v="TXN100152"/>
    <n v="290"/>
    <x v="29"/>
    <d v="2026-01-13T08:00:00"/>
    <n v="149"/>
    <s v="UPI"/>
    <x v="0"/>
    <n v="77"/>
    <s v="Merchant_004"/>
    <s v="ecommerce"/>
    <x v="3"/>
    <n v="5.0000000000000001E-3"/>
    <n v="0.745"/>
    <x v="11"/>
  </r>
  <r>
    <s v="TXN100153"/>
    <n v="147"/>
    <x v="19"/>
    <d v="2026-01-24T15:53:00"/>
    <n v="49"/>
    <s v="Wallet"/>
    <x v="0"/>
    <n v="77"/>
    <s v="Merchant_015"/>
    <s v="travel"/>
    <x v="1"/>
    <n v="7.4999999999999997E-3"/>
    <n v="0.36749999999999999"/>
    <x v="2"/>
  </r>
  <r>
    <s v="TXN100154"/>
    <n v="326"/>
    <x v="6"/>
    <d v="2026-01-26T11:14:00"/>
    <n v="299"/>
    <s v="Netbanking"/>
    <x v="0"/>
    <n v="79"/>
    <s v="Merchant_013"/>
    <s v="travel"/>
    <x v="3"/>
    <n v="0.01"/>
    <n v="2.99"/>
    <x v="16"/>
  </r>
  <r>
    <s v="TXN100155"/>
    <n v="338"/>
    <x v="39"/>
    <d v="2026-01-09T21:48:00"/>
    <n v="99"/>
    <s v="Card"/>
    <x v="0"/>
    <n v="80"/>
    <s v="Merchant_009"/>
    <s v="ecommerce"/>
    <x v="1"/>
    <n v="1.2E-2"/>
    <n v="1.1879999999999999"/>
    <x v="10"/>
  </r>
  <r>
    <s v="TXN100156"/>
    <n v="21"/>
    <x v="15"/>
    <d v="2026-01-04T20:41:00"/>
    <n v="2999"/>
    <s v="UPI"/>
    <x v="0"/>
    <n v="100"/>
    <s v="Merchant_020"/>
    <s v="food_delivery"/>
    <x v="3"/>
    <n v="5.0000000000000001E-3"/>
    <n v="14.995000000000001"/>
    <x v="1"/>
  </r>
  <r>
    <s v="TXN100157"/>
    <n v="187"/>
    <x v="39"/>
    <d v="2026-01-15T01:37:00"/>
    <n v="49"/>
    <s v="Card"/>
    <x v="1"/>
    <n v="11"/>
    <s v="Merchant_009"/>
    <s v="ecommerce"/>
    <x v="1"/>
    <n v="1.2E-2"/>
    <n v="0.58799999999999997"/>
    <x v="17"/>
  </r>
  <r>
    <s v="TXN100158"/>
    <n v="213"/>
    <x v="9"/>
    <d v="2026-01-30T09:20:00"/>
    <n v="4999"/>
    <s v="UPI"/>
    <x v="0"/>
    <n v="25"/>
    <s v="Merchant_012"/>
    <s v="ecommerce"/>
    <x v="3"/>
    <n v="5.0000000000000001E-3"/>
    <n v="24.995000000000001"/>
    <x v="3"/>
  </r>
  <r>
    <s v="TXN100159"/>
    <n v="188"/>
    <x v="36"/>
    <d v="2026-01-05T17:56:00"/>
    <n v="2999"/>
    <s v="UPI"/>
    <x v="0"/>
    <n v="64"/>
    <s v="Merchant_034"/>
    <s v="travel"/>
    <x v="2"/>
    <n v="5.0000000000000001E-3"/>
    <n v="14.995000000000001"/>
    <x v="14"/>
  </r>
  <r>
    <s v="TXN100160"/>
    <n v="85"/>
    <x v="28"/>
    <d v="2026-01-30T08:53:00"/>
    <n v="499"/>
    <s v="UPI"/>
    <x v="0"/>
    <n v="61"/>
    <s v="Merchant_017"/>
    <s v="grocery"/>
    <x v="1"/>
    <n v="5.0000000000000001E-3"/>
    <n v="2.4950000000000001"/>
    <x v="3"/>
  </r>
  <r>
    <s v="TXN100161"/>
    <n v="174"/>
    <x v="30"/>
    <d v="2026-01-26T09:47:00"/>
    <n v="299"/>
    <s v="Netbanking"/>
    <x v="0"/>
    <n v="59"/>
    <s v="Merchant_008"/>
    <s v="food_delivery"/>
    <x v="1"/>
    <n v="0.01"/>
    <n v="2.99"/>
    <x v="16"/>
  </r>
  <r>
    <s v="TXN100162"/>
    <n v="116"/>
    <x v="22"/>
    <d v="2026-01-03T04:48:00"/>
    <n v="99"/>
    <s v="Netbanking"/>
    <x v="0"/>
    <n v="71"/>
    <s v="Merchant_026"/>
    <s v="food_delivery"/>
    <x v="3"/>
    <n v="0.01"/>
    <n v="0.99"/>
    <x v="29"/>
  </r>
  <r>
    <s v="TXN100163"/>
    <n v="203"/>
    <x v="37"/>
    <d v="2026-01-12T02:50:00"/>
    <n v="149"/>
    <s v="Wallet"/>
    <x v="0"/>
    <n v="33"/>
    <s v="Merchant_001"/>
    <s v="ecommerce"/>
    <x v="2"/>
    <n v="7.4999999999999997E-3"/>
    <n v="1.1174999999999999"/>
    <x v="28"/>
  </r>
  <r>
    <s v="TXN100164"/>
    <n v="189"/>
    <x v="28"/>
    <d v="2026-01-18T03:29:00"/>
    <n v="99"/>
    <s v="UPI"/>
    <x v="0"/>
    <n v="74"/>
    <s v="Merchant_017"/>
    <s v="grocery"/>
    <x v="1"/>
    <n v="5.0000000000000001E-3"/>
    <n v="0.495"/>
    <x v="15"/>
  </r>
  <r>
    <s v="TXN100165"/>
    <n v="56"/>
    <x v="19"/>
    <d v="2026-01-13T20:23:00"/>
    <n v="299"/>
    <s v="UPI"/>
    <x v="0"/>
    <n v="60"/>
    <s v="Merchant_015"/>
    <s v="travel"/>
    <x v="1"/>
    <n v="5.0000000000000001E-3"/>
    <n v="1.4950000000000001"/>
    <x v="11"/>
  </r>
  <r>
    <s v="TXN100166"/>
    <n v="288"/>
    <x v="17"/>
    <d v="2026-01-01T19:56:00"/>
    <n v="4999"/>
    <s v="Wallet"/>
    <x v="1"/>
    <n v="78"/>
    <s v="Merchant_021"/>
    <s v="food_delivery"/>
    <x v="3"/>
    <n v="7.4999999999999997E-3"/>
    <n v="37.4925"/>
    <x v="9"/>
  </r>
  <r>
    <s v="TXN100167"/>
    <n v="326"/>
    <x v="24"/>
    <d v="2026-01-08T20:04:00"/>
    <n v="99"/>
    <s v="Card"/>
    <x v="0"/>
    <n v="89"/>
    <s v="Merchant_030"/>
    <s v="travel"/>
    <x v="0"/>
    <n v="1.2E-2"/>
    <n v="1.1879999999999999"/>
    <x v="5"/>
  </r>
  <r>
    <s v="TXN100168"/>
    <n v="60"/>
    <x v="39"/>
    <d v="2026-01-10T20:26:00"/>
    <n v="49"/>
    <s v="Netbanking"/>
    <x v="0"/>
    <n v="5"/>
    <s v="Merchant_009"/>
    <s v="ecommerce"/>
    <x v="1"/>
    <n v="0.01"/>
    <n v="0.49"/>
    <x v="27"/>
  </r>
  <r>
    <s v="TXN100169"/>
    <n v="60"/>
    <x v="23"/>
    <d v="2026-01-02T09:31:00"/>
    <n v="2999"/>
    <s v="Wallet"/>
    <x v="0"/>
    <n v="30"/>
    <s v="Merchant_007"/>
    <s v="food_delivery"/>
    <x v="3"/>
    <n v="7.4999999999999997E-3"/>
    <n v="22.4925"/>
    <x v="22"/>
  </r>
  <r>
    <s v="TXN100170"/>
    <n v="199"/>
    <x v="24"/>
    <d v="2026-01-29T17:08:00"/>
    <n v="149"/>
    <s v="Netbanking"/>
    <x v="0"/>
    <n v="47"/>
    <s v="Merchant_030"/>
    <s v="travel"/>
    <x v="0"/>
    <n v="0.01"/>
    <n v="1.49"/>
    <x v="0"/>
  </r>
  <r>
    <s v="TXN100171"/>
    <n v="277"/>
    <x v="1"/>
    <d v="2026-01-22T23:44:00"/>
    <n v="49"/>
    <s v="UPI"/>
    <x v="0"/>
    <n v="75"/>
    <s v="Merchant_027"/>
    <s v="ecommerce"/>
    <x v="1"/>
    <n v="5.0000000000000001E-3"/>
    <n v="0.245"/>
    <x v="13"/>
  </r>
  <r>
    <s v="TXN100172"/>
    <n v="213"/>
    <x v="23"/>
    <d v="2026-01-24T23:09:00"/>
    <n v="799"/>
    <s v="Netbanking"/>
    <x v="0"/>
    <n v="62"/>
    <s v="Merchant_007"/>
    <s v="food_delivery"/>
    <x v="3"/>
    <n v="0.01"/>
    <n v="7.99"/>
    <x v="2"/>
  </r>
  <r>
    <s v="TXN100173"/>
    <n v="17"/>
    <x v="31"/>
    <d v="2026-01-20T13:17:00"/>
    <n v="299"/>
    <s v="UPI"/>
    <x v="0"/>
    <n v="27"/>
    <s v="Merchant_024"/>
    <s v="grocery"/>
    <x v="1"/>
    <n v="5.0000000000000001E-3"/>
    <n v="1.4950000000000001"/>
    <x v="26"/>
  </r>
  <r>
    <s v="TXN100174"/>
    <n v="186"/>
    <x v="23"/>
    <d v="2026-01-15T14:15:00"/>
    <n v="1499"/>
    <s v="Card"/>
    <x v="1"/>
    <n v="87"/>
    <s v="Merchant_007"/>
    <s v="food_delivery"/>
    <x v="3"/>
    <n v="1.2E-2"/>
    <n v="17.988"/>
    <x v="17"/>
  </r>
  <r>
    <s v="TXN100175"/>
    <n v="331"/>
    <x v="5"/>
    <d v="2026-01-12T17:57:00"/>
    <n v="149"/>
    <s v="UPI"/>
    <x v="0"/>
    <n v="7"/>
    <s v="Merchant_023"/>
    <s v="travel"/>
    <x v="1"/>
    <n v="5.0000000000000001E-3"/>
    <n v="0.745"/>
    <x v="28"/>
  </r>
  <r>
    <s v="TXN100176"/>
    <n v="63"/>
    <x v="24"/>
    <d v="2026-01-13T08:12:00"/>
    <n v="1499"/>
    <s v="Card"/>
    <x v="0"/>
    <n v="11"/>
    <s v="Merchant_030"/>
    <s v="travel"/>
    <x v="0"/>
    <n v="1.2E-2"/>
    <n v="17.988"/>
    <x v="11"/>
  </r>
  <r>
    <s v="TXN100177"/>
    <n v="328"/>
    <x v="38"/>
    <d v="2026-01-22T06:41:00"/>
    <n v="4999"/>
    <s v="Wallet"/>
    <x v="2"/>
    <n v="2"/>
    <s v="Merchant_039"/>
    <s v="entertainment"/>
    <x v="1"/>
    <n v="7.4999999999999997E-3"/>
    <n v="37.4925"/>
    <x v="13"/>
  </r>
  <r>
    <s v="TXN100178"/>
    <n v="65"/>
    <x v="21"/>
    <d v="2026-01-02T10:15:00"/>
    <n v="2999"/>
    <s v="Card"/>
    <x v="0"/>
    <n v="26"/>
    <s v="Merchant_037"/>
    <s v="entertainment"/>
    <x v="2"/>
    <n v="1.2E-2"/>
    <n v="35.988"/>
    <x v="22"/>
  </r>
  <r>
    <s v="TXN100179"/>
    <n v="301"/>
    <x v="16"/>
    <d v="2026-01-03T17:13:00"/>
    <n v="149"/>
    <s v="UPI"/>
    <x v="0"/>
    <n v="29"/>
    <s v="Merchant_014"/>
    <s v="grocery"/>
    <x v="3"/>
    <n v="5.0000000000000001E-3"/>
    <n v="0.745"/>
    <x v="29"/>
  </r>
  <r>
    <s v="TXN100180"/>
    <n v="306"/>
    <x v="37"/>
    <d v="2026-01-11T04:50:00"/>
    <n v="299"/>
    <s v="UPI"/>
    <x v="1"/>
    <n v="35"/>
    <s v="Merchant_001"/>
    <s v="ecommerce"/>
    <x v="2"/>
    <n v="5.0000000000000001E-3"/>
    <n v="1.4950000000000001"/>
    <x v="7"/>
  </r>
  <r>
    <s v="TXN100181"/>
    <n v="277"/>
    <x v="28"/>
    <d v="2026-01-28T04:08:00"/>
    <n v="299"/>
    <s v="UPI"/>
    <x v="0"/>
    <n v="22"/>
    <s v="Merchant_017"/>
    <s v="grocery"/>
    <x v="1"/>
    <n v="5.0000000000000001E-3"/>
    <n v="1.4950000000000001"/>
    <x v="19"/>
  </r>
  <r>
    <s v="TXN100182"/>
    <n v="14"/>
    <x v="39"/>
    <d v="2026-01-04T21:55:00"/>
    <n v="499"/>
    <s v="UPI"/>
    <x v="0"/>
    <n v="1"/>
    <s v="Merchant_009"/>
    <s v="ecommerce"/>
    <x v="1"/>
    <n v="5.0000000000000001E-3"/>
    <n v="2.4950000000000001"/>
    <x v="1"/>
  </r>
  <r>
    <s v="TXN100183"/>
    <n v="166"/>
    <x v="27"/>
    <d v="2026-01-12T07:37:00"/>
    <n v="299"/>
    <s v="Card"/>
    <x v="0"/>
    <n v="22"/>
    <s v="Merchant_002"/>
    <s v="grocery"/>
    <x v="0"/>
    <n v="1.2E-2"/>
    <n v="3.5880000000000001"/>
    <x v="28"/>
  </r>
  <r>
    <s v="TXN100184"/>
    <n v="216"/>
    <x v="36"/>
    <d v="2026-01-09T01:08:00"/>
    <n v="299"/>
    <s v="Card"/>
    <x v="0"/>
    <n v="14"/>
    <s v="Merchant_034"/>
    <s v="travel"/>
    <x v="2"/>
    <n v="1.2E-2"/>
    <n v="3.5880000000000001"/>
    <x v="10"/>
  </r>
  <r>
    <s v="TXN100185"/>
    <n v="230"/>
    <x v="31"/>
    <d v="2026-01-24T02:30:00"/>
    <n v="49"/>
    <s v="UPI"/>
    <x v="0"/>
    <n v="65"/>
    <s v="Merchant_024"/>
    <s v="grocery"/>
    <x v="1"/>
    <n v="5.0000000000000001E-3"/>
    <n v="0.245"/>
    <x v="2"/>
  </r>
  <r>
    <s v="TXN100186"/>
    <n v="258"/>
    <x v="19"/>
    <d v="2026-01-19T03:28:00"/>
    <n v="499"/>
    <s v="Wallet"/>
    <x v="0"/>
    <n v="78"/>
    <s v="Merchant_015"/>
    <s v="travel"/>
    <x v="1"/>
    <n v="7.4999999999999997E-3"/>
    <n v="3.7424999999999997"/>
    <x v="23"/>
  </r>
  <r>
    <s v="TXN100187"/>
    <n v="338"/>
    <x v="36"/>
    <d v="2026-01-02T23:50:00"/>
    <n v="49"/>
    <s v="UPI"/>
    <x v="0"/>
    <n v="38"/>
    <s v="Merchant_034"/>
    <s v="travel"/>
    <x v="2"/>
    <n v="5.0000000000000001E-3"/>
    <n v="0.245"/>
    <x v="22"/>
  </r>
  <r>
    <s v="TXN100188"/>
    <n v="32"/>
    <x v="20"/>
    <d v="2026-01-15T20:01:00"/>
    <n v="299"/>
    <s v="UPI"/>
    <x v="0"/>
    <n v="51"/>
    <s v="Merchant_031"/>
    <s v="bill_payment"/>
    <x v="3"/>
    <n v="5.0000000000000001E-3"/>
    <n v="1.4950000000000001"/>
    <x v="17"/>
  </r>
  <r>
    <s v="TXN100189"/>
    <n v="252"/>
    <x v="26"/>
    <d v="2026-01-14T21:06:00"/>
    <n v="1499"/>
    <s v="UPI"/>
    <x v="0"/>
    <n v="9"/>
    <s v="Merchant_029"/>
    <s v="ecommerce"/>
    <x v="1"/>
    <n v="5.0000000000000001E-3"/>
    <n v="7.4950000000000001"/>
    <x v="12"/>
  </r>
  <r>
    <s v="TXN100190"/>
    <n v="312"/>
    <x v="34"/>
    <d v="2026-01-29T02:20:00"/>
    <n v="799"/>
    <s v="UPI"/>
    <x v="0"/>
    <n v="8"/>
    <s v="Merchant_010"/>
    <s v="grocery"/>
    <x v="0"/>
    <n v="5.0000000000000001E-3"/>
    <n v="3.9950000000000001"/>
    <x v="0"/>
  </r>
  <r>
    <s v="TXN100191"/>
    <n v="325"/>
    <x v="35"/>
    <d v="2026-01-05T08:39:00"/>
    <n v="1499"/>
    <s v="Netbanking"/>
    <x v="0"/>
    <n v="70"/>
    <s v="Merchant_038"/>
    <s v="grocery"/>
    <x v="3"/>
    <n v="0.01"/>
    <n v="14.99"/>
    <x v="14"/>
  </r>
  <r>
    <s v="TXN100192"/>
    <n v="306"/>
    <x v="36"/>
    <d v="2026-01-23T10:24:00"/>
    <n v="2999"/>
    <s v="UPI"/>
    <x v="0"/>
    <n v="37"/>
    <s v="Merchant_034"/>
    <s v="travel"/>
    <x v="2"/>
    <n v="5.0000000000000001E-3"/>
    <n v="14.995000000000001"/>
    <x v="20"/>
  </r>
  <r>
    <s v="TXN100193"/>
    <n v="221"/>
    <x v="23"/>
    <d v="2026-01-15T16:38:00"/>
    <n v="149"/>
    <s v="Netbanking"/>
    <x v="0"/>
    <n v="89"/>
    <s v="Merchant_007"/>
    <s v="food_delivery"/>
    <x v="3"/>
    <n v="0.01"/>
    <n v="1.49"/>
    <x v="17"/>
  </r>
  <r>
    <s v="TXN100194"/>
    <n v="283"/>
    <x v="16"/>
    <d v="2026-01-04T20:41:00"/>
    <n v="99"/>
    <s v="Wallet"/>
    <x v="0"/>
    <n v="55"/>
    <s v="Merchant_014"/>
    <s v="grocery"/>
    <x v="3"/>
    <n v="7.4999999999999997E-3"/>
    <n v="0.74249999999999994"/>
    <x v="1"/>
  </r>
  <r>
    <s v="TXN100195"/>
    <n v="174"/>
    <x v="24"/>
    <d v="2026-01-15T07:26:00"/>
    <n v="49"/>
    <s v="UPI"/>
    <x v="0"/>
    <n v="51"/>
    <s v="Merchant_030"/>
    <s v="travel"/>
    <x v="0"/>
    <n v="5.0000000000000001E-3"/>
    <n v="0.245"/>
    <x v="17"/>
  </r>
  <r>
    <s v="TXN100196"/>
    <n v="161"/>
    <x v="10"/>
    <d v="2026-01-14T23:06:00"/>
    <n v="49"/>
    <s v="UPI"/>
    <x v="0"/>
    <n v="40"/>
    <s v="Merchant_028"/>
    <s v="ecommerce"/>
    <x v="2"/>
    <n v="5.0000000000000001E-3"/>
    <n v="0.245"/>
    <x v="12"/>
  </r>
  <r>
    <s v="TXN100197"/>
    <n v="79"/>
    <x v="20"/>
    <d v="2026-01-22T08:23:00"/>
    <n v="99"/>
    <s v="UPI"/>
    <x v="0"/>
    <n v="8"/>
    <s v="Merchant_031"/>
    <s v="bill_payment"/>
    <x v="3"/>
    <n v="5.0000000000000001E-3"/>
    <n v="0.495"/>
    <x v="13"/>
  </r>
  <r>
    <s v="TXN100198"/>
    <n v="222"/>
    <x v="23"/>
    <d v="2026-01-03T02:05:00"/>
    <n v="149"/>
    <s v="Wallet"/>
    <x v="0"/>
    <n v="95"/>
    <s v="Merchant_007"/>
    <s v="food_delivery"/>
    <x v="3"/>
    <n v="7.4999999999999997E-3"/>
    <n v="1.1174999999999999"/>
    <x v="29"/>
  </r>
  <r>
    <s v="TXN100199"/>
    <n v="67"/>
    <x v="25"/>
    <d v="2026-01-24T11:51:00"/>
    <n v="99"/>
    <s v="UPI"/>
    <x v="0"/>
    <n v="7"/>
    <s v="Merchant_036"/>
    <s v="entertainment"/>
    <x v="3"/>
    <n v="5.0000000000000001E-3"/>
    <n v="0.495"/>
    <x v="2"/>
  </r>
  <r>
    <s v="TXN100200"/>
    <n v="169"/>
    <x v="30"/>
    <d v="2026-01-19T17:35:00"/>
    <n v="99"/>
    <s v="UPI"/>
    <x v="0"/>
    <n v="52"/>
    <s v="Merchant_008"/>
    <s v="food_delivery"/>
    <x v="1"/>
    <n v="5.0000000000000001E-3"/>
    <n v="0.495"/>
    <x v="23"/>
  </r>
  <r>
    <s v="TXN100201"/>
    <n v="217"/>
    <x v="29"/>
    <d v="2026-01-12T21:48:00"/>
    <n v="49"/>
    <s v="UPI"/>
    <x v="0"/>
    <n v="36"/>
    <s v="Merchant_004"/>
    <s v="ecommerce"/>
    <x v="3"/>
    <n v="5.0000000000000001E-3"/>
    <n v="0.245"/>
    <x v="28"/>
  </r>
  <r>
    <s v="TXN100202"/>
    <n v="54"/>
    <x v="21"/>
    <d v="2026-01-20T09:22:00"/>
    <n v="149"/>
    <s v="UPI"/>
    <x v="0"/>
    <n v="64"/>
    <s v="Merchant_037"/>
    <s v="entertainment"/>
    <x v="2"/>
    <n v="5.0000000000000001E-3"/>
    <n v="0.745"/>
    <x v="26"/>
  </r>
  <r>
    <s v="TXN100203"/>
    <n v="247"/>
    <x v="19"/>
    <d v="2026-01-07T04:42:00"/>
    <n v="49"/>
    <s v="Card"/>
    <x v="0"/>
    <n v="13"/>
    <s v="Merchant_015"/>
    <s v="travel"/>
    <x v="1"/>
    <n v="1.2E-2"/>
    <n v="0.58799999999999997"/>
    <x v="25"/>
  </r>
  <r>
    <s v="TXN100204"/>
    <n v="59"/>
    <x v="7"/>
    <d v="2026-01-12T17:23:00"/>
    <n v="49"/>
    <s v="Card"/>
    <x v="0"/>
    <n v="73"/>
    <s v="Merchant_018"/>
    <s v="grocery"/>
    <x v="0"/>
    <n v="1.2E-2"/>
    <n v="0.58799999999999997"/>
    <x v="28"/>
  </r>
  <r>
    <s v="TXN100205"/>
    <n v="288"/>
    <x v="12"/>
    <d v="2026-01-08T13:54:00"/>
    <n v="49"/>
    <s v="UPI"/>
    <x v="1"/>
    <n v="78"/>
    <s v="Merchant_040"/>
    <s v="entertainment"/>
    <x v="2"/>
    <n v="5.0000000000000001E-3"/>
    <n v="0.245"/>
    <x v="5"/>
  </r>
  <r>
    <s v="TXN100206"/>
    <n v="14"/>
    <x v="38"/>
    <d v="2026-01-22T20:35:00"/>
    <n v="799"/>
    <s v="UPI"/>
    <x v="0"/>
    <n v="84"/>
    <s v="Merchant_039"/>
    <s v="entertainment"/>
    <x v="1"/>
    <n v="5.0000000000000001E-3"/>
    <n v="3.9950000000000001"/>
    <x v="13"/>
  </r>
  <r>
    <s v="TXN100207"/>
    <n v="15"/>
    <x v="9"/>
    <d v="2026-01-27T22:17:00"/>
    <n v="149"/>
    <s v="UPI"/>
    <x v="0"/>
    <n v="34"/>
    <s v="Merchant_012"/>
    <s v="ecommerce"/>
    <x v="3"/>
    <n v="5.0000000000000001E-3"/>
    <n v="0.745"/>
    <x v="6"/>
  </r>
  <r>
    <s v="TXN100208"/>
    <n v="174"/>
    <x v="5"/>
    <d v="2026-01-23T09:58:00"/>
    <n v="149"/>
    <s v="UPI"/>
    <x v="0"/>
    <n v="0"/>
    <s v="Merchant_023"/>
    <s v="travel"/>
    <x v="1"/>
    <n v="5.0000000000000001E-3"/>
    <n v="0.745"/>
    <x v="20"/>
  </r>
  <r>
    <s v="TXN100209"/>
    <n v="337"/>
    <x v="22"/>
    <d v="2026-01-06T04:36:00"/>
    <n v="49"/>
    <s v="UPI"/>
    <x v="0"/>
    <n v="8"/>
    <s v="Merchant_026"/>
    <s v="food_delivery"/>
    <x v="3"/>
    <n v="5.0000000000000001E-3"/>
    <n v="0.245"/>
    <x v="4"/>
  </r>
  <r>
    <s v="TXN100210"/>
    <n v="16"/>
    <x v="18"/>
    <d v="2026-01-05T23:40:00"/>
    <n v="1499"/>
    <s v="UPI"/>
    <x v="0"/>
    <n v="95"/>
    <s v="Merchant_006"/>
    <s v="food_delivery"/>
    <x v="2"/>
    <n v="5.0000000000000001E-3"/>
    <n v="7.4950000000000001"/>
    <x v="14"/>
  </r>
  <r>
    <s v="TXN100211"/>
    <n v="215"/>
    <x v="24"/>
    <d v="2026-01-17T06:24:00"/>
    <n v="49"/>
    <s v="UPI"/>
    <x v="0"/>
    <n v="43"/>
    <s v="Merchant_030"/>
    <s v="travel"/>
    <x v="0"/>
    <n v="5.0000000000000001E-3"/>
    <n v="0.245"/>
    <x v="18"/>
  </r>
  <r>
    <s v="TXN100212"/>
    <n v="167"/>
    <x v="21"/>
    <d v="2026-01-06T11:19:00"/>
    <n v="99"/>
    <s v="UPI"/>
    <x v="0"/>
    <n v="76"/>
    <s v="Merchant_037"/>
    <s v="entertainment"/>
    <x v="2"/>
    <n v="5.0000000000000001E-3"/>
    <n v="0.495"/>
    <x v="4"/>
  </r>
  <r>
    <s v="TXN100213"/>
    <n v="81"/>
    <x v="12"/>
    <d v="2026-01-03T01:09:00"/>
    <n v="49"/>
    <s v="UPI"/>
    <x v="0"/>
    <n v="6"/>
    <s v="Merchant_040"/>
    <s v="entertainment"/>
    <x v="2"/>
    <n v="5.0000000000000001E-3"/>
    <n v="0.245"/>
    <x v="29"/>
  </r>
  <r>
    <s v="TXN100214"/>
    <n v="227"/>
    <x v="10"/>
    <d v="2026-01-22T02:17:00"/>
    <n v="99"/>
    <s v="UPI"/>
    <x v="0"/>
    <n v="62"/>
    <s v="Merchant_028"/>
    <s v="ecommerce"/>
    <x v="2"/>
    <n v="5.0000000000000001E-3"/>
    <n v="0.495"/>
    <x v="13"/>
  </r>
  <r>
    <s v="TXN100215"/>
    <n v="140"/>
    <x v="16"/>
    <d v="2026-01-20T14:26:00"/>
    <n v="299"/>
    <s v="Wallet"/>
    <x v="0"/>
    <n v="96"/>
    <s v="Merchant_014"/>
    <s v="grocery"/>
    <x v="3"/>
    <n v="7.4999999999999997E-3"/>
    <n v="2.2424999999999997"/>
    <x v="26"/>
  </r>
  <r>
    <s v="TXN100216"/>
    <n v="221"/>
    <x v="30"/>
    <d v="2026-01-17T03:22:00"/>
    <n v="299"/>
    <s v="UPI"/>
    <x v="0"/>
    <n v="36"/>
    <s v="Merchant_008"/>
    <s v="food_delivery"/>
    <x v="1"/>
    <n v="5.0000000000000001E-3"/>
    <n v="1.4950000000000001"/>
    <x v="18"/>
  </r>
  <r>
    <s v="TXN100217"/>
    <n v="250"/>
    <x v="36"/>
    <d v="2026-01-22T21:37:00"/>
    <n v="299"/>
    <s v="Wallet"/>
    <x v="0"/>
    <n v="85"/>
    <s v="Merchant_034"/>
    <s v="travel"/>
    <x v="2"/>
    <n v="7.4999999999999997E-3"/>
    <n v="2.2424999999999997"/>
    <x v="13"/>
  </r>
  <r>
    <s v="TXN100218"/>
    <n v="203"/>
    <x v="38"/>
    <d v="2026-01-10T01:14:00"/>
    <n v="49"/>
    <s v="UPI"/>
    <x v="0"/>
    <n v="7"/>
    <s v="Merchant_039"/>
    <s v="entertainment"/>
    <x v="1"/>
    <n v="5.0000000000000001E-3"/>
    <n v="0.245"/>
    <x v="27"/>
  </r>
  <r>
    <s v="TXN100219"/>
    <n v="109"/>
    <x v="39"/>
    <d v="2026-01-01T06:19:00"/>
    <n v="499"/>
    <s v="Wallet"/>
    <x v="0"/>
    <n v="97"/>
    <s v="Merchant_009"/>
    <s v="ecommerce"/>
    <x v="1"/>
    <n v="7.4999999999999997E-3"/>
    <n v="3.7424999999999997"/>
    <x v="9"/>
  </r>
  <r>
    <s v="TXN100220"/>
    <n v="62"/>
    <x v="37"/>
    <d v="2026-01-09T09:20:00"/>
    <n v="4999"/>
    <s v="Wallet"/>
    <x v="0"/>
    <n v="63"/>
    <s v="Merchant_001"/>
    <s v="ecommerce"/>
    <x v="2"/>
    <n v="7.4999999999999997E-3"/>
    <n v="37.4925"/>
    <x v="10"/>
  </r>
  <r>
    <s v="TXN100221"/>
    <n v="67"/>
    <x v="14"/>
    <d v="2026-01-24T13:11:00"/>
    <n v="49"/>
    <s v="UPI"/>
    <x v="0"/>
    <n v="68"/>
    <s v="Merchant_025"/>
    <s v="travel"/>
    <x v="2"/>
    <n v="5.0000000000000001E-3"/>
    <n v="0.245"/>
    <x v="2"/>
  </r>
  <r>
    <s v="TXN100222"/>
    <n v="287"/>
    <x v="5"/>
    <d v="2026-01-23T07:32:00"/>
    <n v="49"/>
    <s v="UPI"/>
    <x v="0"/>
    <n v="9"/>
    <s v="Merchant_023"/>
    <s v="travel"/>
    <x v="1"/>
    <n v="5.0000000000000001E-3"/>
    <n v="0.245"/>
    <x v="20"/>
  </r>
  <r>
    <s v="TXN100223"/>
    <n v="224"/>
    <x v="27"/>
    <d v="2026-01-13T23:02:00"/>
    <n v="49"/>
    <s v="Card"/>
    <x v="0"/>
    <n v="58"/>
    <s v="Merchant_002"/>
    <s v="grocery"/>
    <x v="0"/>
    <n v="1.2E-2"/>
    <n v="0.58799999999999997"/>
    <x v="11"/>
  </r>
  <r>
    <s v="TXN100224"/>
    <n v="161"/>
    <x v="21"/>
    <d v="2026-01-30T02:55:00"/>
    <n v="299"/>
    <s v="UPI"/>
    <x v="0"/>
    <n v="54"/>
    <s v="Merchant_037"/>
    <s v="entertainment"/>
    <x v="2"/>
    <n v="5.0000000000000001E-3"/>
    <n v="1.4950000000000001"/>
    <x v="3"/>
  </r>
  <r>
    <s v="TXN100225"/>
    <n v="328"/>
    <x v="1"/>
    <d v="2026-01-19T12:45:00"/>
    <n v="49"/>
    <s v="UPI"/>
    <x v="2"/>
    <n v="37"/>
    <s v="Merchant_027"/>
    <s v="ecommerce"/>
    <x v="1"/>
    <n v="5.0000000000000001E-3"/>
    <n v="0.245"/>
    <x v="23"/>
  </r>
  <r>
    <s v="TXN100226"/>
    <n v="167"/>
    <x v="2"/>
    <d v="2026-01-04T12:01:00"/>
    <n v="1499"/>
    <s v="Card"/>
    <x v="1"/>
    <n v="79"/>
    <s v="Merchant_011"/>
    <s v="ecommerce"/>
    <x v="1"/>
    <n v="1.2E-2"/>
    <n v="17.988"/>
    <x v="1"/>
  </r>
  <r>
    <s v="TXN100227"/>
    <n v="186"/>
    <x v="18"/>
    <d v="2026-01-15T22:58:00"/>
    <n v="49"/>
    <s v="Wallet"/>
    <x v="0"/>
    <n v="55"/>
    <s v="Merchant_006"/>
    <s v="food_delivery"/>
    <x v="2"/>
    <n v="7.4999999999999997E-3"/>
    <n v="0.36749999999999999"/>
    <x v="17"/>
  </r>
  <r>
    <s v="TXN100228"/>
    <n v="224"/>
    <x v="35"/>
    <d v="2026-01-28T03:15:00"/>
    <n v="299"/>
    <s v="Wallet"/>
    <x v="1"/>
    <n v="51"/>
    <s v="Merchant_038"/>
    <s v="grocery"/>
    <x v="3"/>
    <n v="7.4999999999999997E-3"/>
    <n v="2.2424999999999997"/>
    <x v="19"/>
  </r>
  <r>
    <s v="TXN100229"/>
    <n v="159"/>
    <x v="3"/>
    <d v="2026-01-17T02:25:00"/>
    <n v="799"/>
    <s v="UPI"/>
    <x v="0"/>
    <n v="28"/>
    <s v="Merchant_022"/>
    <s v="travel"/>
    <x v="2"/>
    <n v="5.0000000000000001E-3"/>
    <n v="3.9950000000000001"/>
    <x v="18"/>
  </r>
  <r>
    <s v="TXN100230"/>
    <n v="262"/>
    <x v="30"/>
    <d v="2026-01-11T05:04:00"/>
    <n v="149"/>
    <s v="UPI"/>
    <x v="0"/>
    <n v="67"/>
    <s v="Merchant_008"/>
    <s v="food_delivery"/>
    <x v="1"/>
    <n v="5.0000000000000001E-3"/>
    <n v="0.745"/>
    <x v="7"/>
  </r>
  <r>
    <s v="TXN100231"/>
    <n v="179"/>
    <x v="5"/>
    <d v="2026-01-17T06:57:00"/>
    <n v="49"/>
    <s v="Wallet"/>
    <x v="0"/>
    <n v="93"/>
    <s v="Merchant_023"/>
    <s v="travel"/>
    <x v="1"/>
    <n v="7.4999999999999997E-3"/>
    <n v="0.36749999999999999"/>
    <x v="18"/>
  </r>
  <r>
    <s v="TXN100232"/>
    <n v="76"/>
    <x v="0"/>
    <d v="2026-01-27T20:52:00"/>
    <n v="299"/>
    <s v="UPI"/>
    <x v="0"/>
    <n v="13"/>
    <s v="Merchant_016"/>
    <s v="bill_payment"/>
    <x v="0"/>
    <n v="5.0000000000000001E-3"/>
    <n v="1.4950000000000001"/>
    <x v="6"/>
  </r>
  <r>
    <s v="TXN100233"/>
    <n v="89"/>
    <x v="38"/>
    <d v="2026-01-05T08:12:00"/>
    <n v="299"/>
    <s v="UPI"/>
    <x v="0"/>
    <n v="19"/>
    <s v="Merchant_039"/>
    <s v="entertainment"/>
    <x v="1"/>
    <n v="5.0000000000000001E-3"/>
    <n v="1.4950000000000001"/>
    <x v="14"/>
  </r>
  <r>
    <s v="TXN100234"/>
    <n v="91"/>
    <x v="33"/>
    <d v="2026-01-25T20:04:00"/>
    <n v="49"/>
    <s v="UPI"/>
    <x v="0"/>
    <n v="59"/>
    <s v="Merchant_032"/>
    <s v="food_delivery"/>
    <x v="0"/>
    <n v="5.0000000000000001E-3"/>
    <n v="0.245"/>
    <x v="21"/>
  </r>
  <r>
    <s v="TXN100235"/>
    <n v="297"/>
    <x v="26"/>
    <d v="2026-01-25T18:48:00"/>
    <n v="99"/>
    <s v="Card"/>
    <x v="2"/>
    <n v="87"/>
    <s v="Merchant_029"/>
    <s v="ecommerce"/>
    <x v="1"/>
    <n v="1.2E-2"/>
    <n v="1.1879999999999999"/>
    <x v="21"/>
  </r>
  <r>
    <s v="TXN100236"/>
    <n v="326"/>
    <x v="12"/>
    <d v="2026-01-30T18:41:00"/>
    <n v="499"/>
    <s v="Card"/>
    <x v="0"/>
    <n v="41"/>
    <s v="Merchant_040"/>
    <s v="entertainment"/>
    <x v="2"/>
    <n v="1.2E-2"/>
    <n v="5.9880000000000004"/>
    <x v="3"/>
  </r>
  <r>
    <s v="TXN100237"/>
    <n v="78"/>
    <x v="26"/>
    <d v="2026-01-28T20:20:00"/>
    <n v="149"/>
    <s v="UPI"/>
    <x v="0"/>
    <n v="8"/>
    <s v="Merchant_029"/>
    <s v="ecommerce"/>
    <x v="1"/>
    <n v="5.0000000000000001E-3"/>
    <n v="0.745"/>
    <x v="19"/>
  </r>
  <r>
    <s v="TXN100238"/>
    <n v="156"/>
    <x v="7"/>
    <d v="2026-01-16T14:40:00"/>
    <n v="2999"/>
    <s v="Card"/>
    <x v="0"/>
    <n v="75"/>
    <s v="Merchant_018"/>
    <s v="grocery"/>
    <x v="0"/>
    <n v="1.2E-2"/>
    <n v="35.988"/>
    <x v="24"/>
  </r>
  <r>
    <s v="TXN100239"/>
    <n v="38"/>
    <x v="15"/>
    <d v="2026-01-02T11:32:00"/>
    <n v="49"/>
    <s v="Wallet"/>
    <x v="1"/>
    <n v="59"/>
    <s v="Merchant_020"/>
    <s v="food_delivery"/>
    <x v="3"/>
    <n v="7.4999999999999997E-3"/>
    <n v="0.36749999999999999"/>
    <x v="22"/>
  </r>
  <r>
    <s v="TXN100240"/>
    <n v="189"/>
    <x v="13"/>
    <d v="2026-01-15T01:03:00"/>
    <n v="99"/>
    <s v="UPI"/>
    <x v="1"/>
    <n v="9"/>
    <s v="Merchant_019"/>
    <s v="grocery"/>
    <x v="1"/>
    <n v="5.0000000000000001E-3"/>
    <n v="0.495"/>
    <x v="17"/>
  </r>
  <r>
    <s v="TXN100241"/>
    <n v="305"/>
    <x v="11"/>
    <d v="2026-01-21T02:39:00"/>
    <n v="299"/>
    <s v="Card"/>
    <x v="0"/>
    <n v="49"/>
    <s v="Merchant_033"/>
    <s v="bill_payment"/>
    <x v="3"/>
    <n v="1.2E-2"/>
    <n v="3.5880000000000001"/>
    <x v="8"/>
  </r>
  <r>
    <s v="TXN100242"/>
    <n v="22"/>
    <x v="26"/>
    <d v="2026-01-15T18:35:00"/>
    <n v="799"/>
    <s v="UPI"/>
    <x v="0"/>
    <n v="73"/>
    <s v="Merchant_029"/>
    <s v="ecommerce"/>
    <x v="1"/>
    <n v="5.0000000000000001E-3"/>
    <n v="3.9950000000000001"/>
    <x v="17"/>
  </r>
  <r>
    <s v="TXN100243"/>
    <n v="310"/>
    <x v="20"/>
    <d v="2026-01-21T06:20:00"/>
    <n v="49"/>
    <s v="Card"/>
    <x v="0"/>
    <n v="64"/>
    <s v="Merchant_031"/>
    <s v="bill_payment"/>
    <x v="3"/>
    <n v="1.2E-2"/>
    <n v="0.58799999999999997"/>
    <x v="8"/>
  </r>
  <r>
    <s v="TXN100244"/>
    <n v="53"/>
    <x v="3"/>
    <d v="2026-01-05T01:28:00"/>
    <n v="299"/>
    <s v="UPI"/>
    <x v="0"/>
    <n v="91"/>
    <s v="Merchant_022"/>
    <s v="travel"/>
    <x v="2"/>
    <n v="5.0000000000000001E-3"/>
    <n v="1.4950000000000001"/>
    <x v="14"/>
  </r>
  <r>
    <s v="TXN100245"/>
    <n v="89"/>
    <x v="4"/>
    <d v="2026-01-03T16:41:00"/>
    <n v="149"/>
    <s v="Card"/>
    <x v="0"/>
    <n v="31"/>
    <s v="Merchant_003"/>
    <s v="grocery"/>
    <x v="3"/>
    <n v="1.2E-2"/>
    <n v="1.788"/>
    <x v="29"/>
  </r>
  <r>
    <s v="TXN100246"/>
    <n v="269"/>
    <x v="36"/>
    <d v="2026-01-23T14:28:00"/>
    <n v="149"/>
    <s v="UPI"/>
    <x v="0"/>
    <n v="78"/>
    <s v="Merchant_034"/>
    <s v="travel"/>
    <x v="2"/>
    <n v="5.0000000000000001E-3"/>
    <n v="0.745"/>
    <x v="20"/>
  </r>
  <r>
    <s v="TXN100247"/>
    <n v="145"/>
    <x v="14"/>
    <d v="2026-01-06T11:23:00"/>
    <n v="799"/>
    <s v="UPI"/>
    <x v="0"/>
    <n v="52"/>
    <s v="Merchant_025"/>
    <s v="travel"/>
    <x v="2"/>
    <n v="5.0000000000000001E-3"/>
    <n v="3.9950000000000001"/>
    <x v="4"/>
  </r>
  <r>
    <s v="TXN100248"/>
    <n v="307"/>
    <x v="29"/>
    <d v="2026-01-25T10:43:00"/>
    <n v="1499"/>
    <s v="UPI"/>
    <x v="0"/>
    <n v="80"/>
    <s v="Merchant_004"/>
    <s v="ecommerce"/>
    <x v="3"/>
    <n v="5.0000000000000001E-3"/>
    <n v="7.4950000000000001"/>
    <x v="21"/>
  </r>
  <r>
    <s v="TXN100249"/>
    <n v="169"/>
    <x v="23"/>
    <d v="2026-01-21T10:04:00"/>
    <n v="1499"/>
    <s v="Wallet"/>
    <x v="0"/>
    <n v="71"/>
    <s v="Merchant_007"/>
    <s v="food_delivery"/>
    <x v="3"/>
    <n v="7.4999999999999997E-3"/>
    <n v="11.2425"/>
    <x v="8"/>
  </r>
  <r>
    <s v="TXN100250"/>
    <n v="130"/>
    <x v="38"/>
    <d v="2026-01-22T12:18:00"/>
    <n v="2999"/>
    <s v="Wallet"/>
    <x v="0"/>
    <n v="19"/>
    <s v="Merchant_039"/>
    <s v="entertainment"/>
    <x v="1"/>
    <n v="7.4999999999999997E-3"/>
    <n v="22.4925"/>
    <x v="13"/>
  </r>
  <r>
    <s v="TXN100251"/>
    <n v="340"/>
    <x v="34"/>
    <d v="2026-01-11T02:37:00"/>
    <n v="49"/>
    <s v="Card"/>
    <x v="0"/>
    <n v="44"/>
    <s v="Merchant_010"/>
    <s v="grocery"/>
    <x v="0"/>
    <n v="1.2E-2"/>
    <n v="0.58799999999999997"/>
    <x v="7"/>
  </r>
  <r>
    <s v="TXN100252"/>
    <n v="340"/>
    <x v="22"/>
    <d v="2026-01-10T20:44:00"/>
    <n v="299"/>
    <s v="Card"/>
    <x v="0"/>
    <n v="16"/>
    <s v="Merchant_026"/>
    <s v="food_delivery"/>
    <x v="3"/>
    <n v="1.2E-2"/>
    <n v="3.5880000000000001"/>
    <x v="27"/>
  </r>
  <r>
    <s v="TXN100253"/>
    <n v="159"/>
    <x v="25"/>
    <d v="2026-01-20T22:05:00"/>
    <n v="49"/>
    <s v="UPI"/>
    <x v="0"/>
    <n v="48"/>
    <s v="Merchant_036"/>
    <s v="entertainment"/>
    <x v="3"/>
    <n v="5.0000000000000001E-3"/>
    <n v="0.245"/>
    <x v="26"/>
  </r>
  <r>
    <s v="TXN100254"/>
    <n v="66"/>
    <x v="36"/>
    <d v="2026-01-21T10:52:00"/>
    <n v="799"/>
    <s v="UPI"/>
    <x v="0"/>
    <n v="11"/>
    <s v="Merchant_034"/>
    <s v="travel"/>
    <x v="2"/>
    <n v="5.0000000000000001E-3"/>
    <n v="3.9950000000000001"/>
    <x v="8"/>
  </r>
  <r>
    <s v="TXN100255"/>
    <n v="261"/>
    <x v="31"/>
    <d v="2026-01-21T21:27:00"/>
    <n v="799"/>
    <s v="Card"/>
    <x v="0"/>
    <n v="2"/>
    <s v="Merchant_024"/>
    <s v="grocery"/>
    <x v="1"/>
    <n v="1.2E-2"/>
    <n v="9.588000000000001"/>
    <x v="8"/>
  </r>
  <r>
    <s v="TXN100256"/>
    <n v="110"/>
    <x v="3"/>
    <d v="2026-01-12T09:11:00"/>
    <n v="799"/>
    <s v="UPI"/>
    <x v="0"/>
    <n v="98"/>
    <s v="Merchant_022"/>
    <s v="travel"/>
    <x v="2"/>
    <n v="5.0000000000000001E-3"/>
    <n v="3.9950000000000001"/>
    <x v="28"/>
  </r>
  <r>
    <s v="TXN100257"/>
    <n v="71"/>
    <x v="34"/>
    <d v="2026-01-16T06:14:00"/>
    <n v="49"/>
    <s v="UPI"/>
    <x v="0"/>
    <n v="9"/>
    <s v="Merchant_010"/>
    <s v="grocery"/>
    <x v="0"/>
    <n v="5.0000000000000001E-3"/>
    <n v="0.245"/>
    <x v="24"/>
  </r>
  <r>
    <s v="TXN100258"/>
    <n v="277"/>
    <x v="36"/>
    <d v="2026-01-10T03:32:00"/>
    <n v="49"/>
    <s v="UPI"/>
    <x v="0"/>
    <n v="4"/>
    <s v="Merchant_034"/>
    <s v="travel"/>
    <x v="2"/>
    <n v="5.0000000000000001E-3"/>
    <n v="0.245"/>
    <x v="27"/>
  </r>
  <r>
    <s v="TXN100259"/>
    <n v="317"/>
    <x v="39"/>
    <d v="2026-01-22T10:56:00"/>
    <n v="499"/>
    <s v="Wallet"/>
    <x v="0"/>
    <n v="76"/>
    <s v="Merchant_009"/>
    <s v="ecommerce"/>
    <x v="1"/>
    <n v="7.4999999999999997E-3"/>
    <n v="3.7424999999999997"/>
    <x v="13"/>
  </r>
  <r>
    <s v="TXN100260"/>
    <n v="93"/>
    <x v="12"/>
    <d v="2026-01-13T04:10:00"/>
    <n v="299"/>
    <s v="UPI"/>
    <x v="0"/>
    <n v="21"/>
    <s v="Merchant_040"/>
    <s v="entertainment"/>
    <x v="2"/>
    <n v="5.0000000000000001E-3"/>
    <n v="1.4950000000000001"/>
    <x v="11"/>
  </r>
  <r>
    <s v="TXN100261"/>
    <n v="211"/>
    <x v="31"/>
    <d v="2026-01-24T14:02:00"/>
    <n v="99"/>
    <s v="Netbanking"/>
    <x v="0"/>
    <n v="86"/>
    <s v="Merchant_024"/>
    <s v="grocery"/>
    <x v="1"/>
    <n v="0.01"/>
    <n v="0.99"/>
    <x v="2"/>
  </r>
  <r>
    <s v="TXN100262"/>
    <n v="313"/>
    <x v="13"/>
    <d v="2026-01-24T07:28:00"/>
    <n v="149"/>
    <s v="UPI"/>
    <x v="0"/>
    <n v="96"/>
    <s v="Merchant_019"/>
    <s v="grocery"/>
    <x v="1"/>
    <n v="5.0000000000000001E-3"/>
    <n v="0.745"/>
    <x v="2"/>
  </r>
  <r>
    <s v="TXN100263"/>
    <n v="274"/>
    <x v="0"/>
    <d v="2026-01-24T14:14:00"/>
    <n v="49"/>
    <s v="Wallet"/>
    <x v="1"/>
    <n v="39"/>
    <s v="Merchant_016"/>
    <s v="bill_payment"/>
    <x v="0"/>
    <n v="7.4999999999999997E-3"/>
    <n v="0.36749999999999999"/>
    <x v="2"/>
  </r>
  <r>
    <s v="TXN100264"/>
    <n v="100"/>
    <x v="31"/>
    <d v="2026-01-26T15:57:00"/>
    <n v="299"/>
    <s v="UPI"/>
    <x v="0"/>
    <n v="86"/>
    <s v="Merchant_024"/>
    <s v="grocery"/>
    <x v="1"/>
    <n v="5.0000000000000001E-3"/>
    <n v="1.4950000000000001"/>
    <x v="16"/>
  </r>
  <r>
    <s v="TXN100265"/>
    <n v="145"/>
    <x v="14"/>
    <d v="2026-01-19T14:29:00"/>
    <n v="2999"/>
    <s v="Wallet"/>
    <x v="0"/>
    <n v="64"/>
    <s v="Merchant_025"/>
    <s v="travel"/>
    <x v="2"/>
    <n v="7.4999999999999997E-3"/>
    <n v="22.4925"/>
    <x v="23"/>
  </r>
  <r>
    <s v="TXN100266"/>
    <n v="103"/>
    <x v="38"/>
    <d v="2026-01-17T13:10:00"/>
    <n v="2999"/>
    <s v="Wallet"/>
    <x v="0"/>
    <n v="17"/>
    <s v="Merchant_039"/>
    <s v="entertainment"/>
    <x v="1"/>
    <n v="7.4999999999999997E-3"/>
    <n v="22.4925"/>
    <x v="18"/>
  </r>
  <r>
    <s v="TXN100267"/>
    <n v="329"/>
    <x v="20"/>
    <d v="2026-01-28T08:03:00"/>
    <n v="299"/>
    <s v="Wallet"/>
    <x v="0"/>
    <n v="47"/>
    <s v="Merchant_031"/>
    <s v="bill_payment"/>
    <x v="3"/>
    <n v="7.4999999999999997E-3"/>
    <n v="2.2424999999999997"/>
    <x v="19"/>
  </r>
  <r>
    <s v="TXN100268"/>
    <n v="265"/>
    <x v="30"/>
    <d v="2026-01-18T03:45:00"/>
    <n v="499"/>
    <s v="Netbanking"/>
    <x v="0"/>
    <n v="36"/>
    <s v="Merchant_008"/>
    <s v="food_delivery"/>
    <x v="1"/>
    <n v="0.01"/>
    <n v="4.99"/>
    <x v="15"/>
  </r>
  <r>
    <s v="TXN100269"/>
    <n v="231"/>
    <x v="11"/>
    <d v="2026-01-03T05:17:00"/>
    <n v="149"/>
    <s v="UPI"/>
    <x v="1"/>
    <n v="18"/>
    <s v="Merchant_033"/>
    <s v="bill_payment"/>
    <x v="3"/>
    <n v="5.0000000000000001E-3"/>
    <n v="0.745"/>
    <x v="29"/>
  </r>
  <r>
    <s v="TXN100270"/>
    <n v="114"/>
    <x v="26"/>
    <d v="2026-01-27T13:05:00"/>
    <n v="799"/>
    <s v="UPI"/>
    <x v="2"/>
    <n v="44"/>
    <s v="Merchant_029"/>
    <s v="ecommerce"/>
    <x v="1"/>
    <n v="5.0000000000000001E-3"/>
    <n v="3.9950000000000001"/>
    <x v="6"/>
  </r>
  <r>
    <s v="TXN100271"/>
    <n v="28"/>
    <x v="22"/>
    <d v="2026-01-30T00:26:00"/>
    <n v="1499"/>
    <s v="UPI"/>
    <x v="1"/>
    <n v="64"/>
    <s v="Merchant_026"/>
    <s v="food_delivery"/>
    <x v="3"/>
    <n v="5.0000000000000001E-3"/>
    <n v="7.4950000000000001"/>
    <x v="3"/>
  </r>
  <r>
    <s v="TXN100272"/>
    <n v="42"/>
    <x v="31"/>
    <d v="2026-01-12T07:24:00"/>
    <n v="149"/>
    <s v="UPI"/>
    <x v="0"/>
    <n v="28"/>
    <s v="Merchant_024"/>
    <s v="grocery"/>
    <x v="1"/>
    <n v="5.0000000000000001E-3"/>
    <n v="0.745"/>
    <x v="28"/>
  </r>
  <r>
    <s v="TXN100273"/>
    <n v="51"/>
    <x v="3"/>
    <d v="2026-01-01T10:59:00"/>
    <n v="799"/>
    <s v="UPI"/>
    <x v="0"/>
    <n v="18"/>
    <s v="Merchant_022"/>
    <s v="travel"/>
    <x v="2"/>
    <n v="5.0000000000000001E-3"/>
    <n v="3.9950000000000001"/>
    <x v="9"/>
  </r>
  <r>
    <s v="TXN100274"/>
    <n v="242"/>
    <x v="39"/>
    <d v="2026-01-05T01:18:00"/>
    <n v="149"/>
    <s v="UPI"/>
    <x v="0"/>
    <n v="97"/>
    <s v="Merchant_009"/>
    <s v="ecommerce"/>
    <x v="1"/>
    <n v="5.0000000000000001E-3"/>
    <n v="0.745"/>
    <x v="14"/>
  </r>
  <r>
    <s v="TXN100275"/>
    <n v="316"/>
    <x v="37"/>
    <d v="2026-01-23T15:28:00"/>
    <n v="149"/>
    <s v="UPI"/>
    <x v="0"/>
    <n v="10"/>
    <s v="Merchant_001"/>
    <s v="ecommerce"/>
    <x v="2"/>
    <n v="5.0000000000000001E-3"/>
    <n v="0.745"/>
    <x v="20"/>
  </r>
  <r>
    <s v="TXN100276"/>
    <n v="77"/>
    <x v="25"/>
    <d v="2026-01-01T08:13:00"/>
    <n v="149"/>
    <s v="UPI"/>
    <x v="0"/>
    <n v="93"/>
    <s v="Merchant_036"/>
    <s v="entertainment"/>
    <x v="3"/>
    <n v="5.0000000000000001E-3"/>
    <n v="0.745"/>
    <x v="9"/>
  </r>
  <r>
    <s v="TXN100277"/>
    <n v="57"/>
    <x v="13"/>
    <d v="2026-01-20T16:27:00"/>
    <n v="49"/>
    <s v="UPI"/>
    <x v="0"/>
    <n v="30"/>
    <s v="Merchant_019"/>
    <s v="grocery"/>
    <x v="1"/>
    <n v="5.0000000000000001E-3"/>
    <n v="0.245"/>
    <x v="26"/>
  </r>
  <r>
    <s v="TXN100278"/>
    <n v="123"/>
    <x v="1"/>
    <d v="2026-01-10T03:03:00"/>
    <n v="149"/>
    <s v="Netbanking"/>
    <x v="0"/>
    <n v="81"/>
    <s v="Merchant_027"/>
    <s v="ecommerce"/>
    <x v="1"/>
    <n v="0.01"/>
    <n v="1.49"/>
    <x v="27"/>
  </r>
  <r>
    <s v="TXN100279"/>
    <n v="33"/>
    <x v="30"/>
    <d v="2026-01-26T19:29:00"/>
    <n v="299"/>
    <s v="Wallet"/>
    <x v="0"/>
    <n v="63"/>
    <s v="Merchant_008"/>
    <s v="food_delivery"/>
    <x v="1"/>
    <n v="7.4999999999999997E-3"/>
    <n v="2.2424999999999997"/>
    <x v="16"/>
  </r>
  <r>
    <s v="TXN100280"/>
    <n v="324"/>
    <x v="11"/>
    <d v="2026-01-20T17:01:00"/>
    <n v="499"/>
    <s v="UPI"/>
    <x v="0"/>
    <n v="73"/>
    <s v="Merchant_033"/>
    <s v="bill_payment"/>
    <x v="3"/>
    <n v="5.0000000000000001E-3"/>
    <n v="2.4950000000000001"/>
    <x v="26"/>
  </r>
  <r>
    <s v="TXN100281"/>
    <n v="150"/>
    <x v="10"/>
    <d v="2026-01-08T22:09:00"/>
    <n v="49"/>
    <s v="UPI"/>
    <x v="1"/>
    <n v="0"/>
    <s v="Merchant_028"/>
    <s v="ecommerce"/>
    <x v="2"/>
    <n v="5.0000000000000001E-3"/>
    <n v="0.245"/>
    <x v="5"/>
  </r>
  <r>
    <s v="TXN100282"/>
    <n v="293"/>
    <x v="1"/>
    <d v="2026-01-20T11:15:00"/>
    <n v="4999"/>
    <s v="UPI"/>
    <x v="0"/>
    <n v="23"/>
    <s v="Merchant_027"/>
    <s v="ecommerce"/>
    <x v="1"/>
    <n v="5.0000000000000001E-3"/>
    <n v="24.995000000000001"/>
    <x v="26"/>
  </r>
  <r>
    <s v="TXN100283"/>
    <n v="269"/>
    <x v="31"/>
    <d v="2026-01-22T21:05:00"/>
    <n v="49"/>
    <s v="Wallet"/>
    <x v="0"/>
    <n v="8"/>
    <s v="Merchant_024"/>
    <s v="grocery"/>
    <x v="1"/>
    <n v="7.4999999999999997E-3"/>
    <n v="0.36749999999999999"/>
    <x v="13"/>
  </r>
  <r>
    <s v="TXN100284"/>
    <n v="260"/>
    <x v="25"/>
    <d v="2026-01-17T17:32:00"/>
    <n v="1499"/>
    <s v="UPI"/>
    <x v="0"/>
    <n v="2"/>
    <s v="Merchant_036"/>
    <s v="entertainment"/>
    <x v="3"/>
    <n v="5.0000000000000001E-3"/>
    <n v="7.4950000000000001"/>
    <x v="18"/>
  </r>
  <r>
    <s v="TXN100285"/>
    <n v="326"/>
    <x v="14"/>
    <d v="2026-01-13T15:02:00"/>
    <n v="49"/>
    <s v="UPI"/>
    <x v="0"/>
    <n v="47"/>
    <s v="Merchant_025"/>
    <s v="travel"/>
    <x v="2"/>
    <n v="5.0000000000000001E-3"/>
    <n v="0.245"/>
    <x v="11"/>
  </r>
  <r>
    <s v="TXN100286"/>
    <n v="183"/>
    <x v="32"/>
    <d v="2026-01-09T23:01:00"/>
    <n v="49"/>
    <s v="Card"/>
    <x v="0"/>
    <n v="44"/>
    <s v="Merchant_005"/>
    <s v="recharge"/>
    <x v="2"/>
    <n v="1.2E-2"/>
    <n v="0.58799999999999997"/>
    <x v="10"/>
  </r>
  <r>
    <s v="TXN100287"/>
    <n v="322"/>
    <x v="23"/>
    <d v="2026-01-08T23:42:00"/>
    <n v="299"/>
    <s v="UPI"/>
    <x v="0"/>
    <n v="98"/>
    <s v="Merchant_007"/>
    <s v="food_delivery"/>
    <x v="3"/>
    <n v="5.0000000000000001E-3"/>
    <n v="1.4950000000000001"/>
    <x v="5"/>
  </r>
  <r>
    <s v="TXN100288"/>
    <n v="171"/>
    <x v="39"/>
    <d v="2026-01-19T23:48:00"/>
    <n v="299"/>
    <s v="UPI"/>
    <x v="0"/>
    <n v="5"/>
    <s v="Merchant_009"/>
    <s v="ecommerce"/>
    <x v="1"/>
    <n v="5.0000000000000001E-3"/>
    <n v="1.4950000000000001"/>
    <x v="23"/>
  </r>
  <r>
    <s v="TXN100289"/>
    <n v="330"/>
    <x v="9"/>
    <d v="2026-01-12T17:21:00"/>
    <n v="1499"/>
    <s v="Netbanking"/>
    <x v="0"/>
    <n v="99"/>
    <s v="Merchant_012"/>
    <s v="ecommerce"/>
    <x v="3"/>
    <n v="0.01"/>
    <n v="14.99"/>
    <x v="28"/>
  </r>
  <r>
    <s v="TXN100290"/>
    <n v="246"/>
    <x v="9"/>
    <d v="2026-01-22T14:44:00"/>
    <n v="99"/>
    <s v="Wallet"/>
    <x v="0"/>
    <n v="17"/>
    <s v="Merchant_012"/>
    <s v="ecommerce"/>
    <x v="3"/>
    <n v="7.4999999999999997E-3"/>
    <n v="0.74249999999999994"/>
    <x v="13"/>
  </r>
  <r>
    <s v="TXN100291"/>
    <n v="235"/>
    <x v="4"/>
    <d v="2026-01-03T22:49:00"/>
    <n v="49"/>
    <s v="UPI"/>
    <x v="0"/>
    <n v="37"/>
    <s v="Merchant_003"/>
    <s v="grocery"/>
    <x v="3"/>
    <n v="5.0000000000000001E-3"/>
    <n v="0.245"/>
    <x v="29"/>
  </r>
  <r>
    <s v="TXN100292"/>
    <n v="103"/>
    <x v="4"/>
    <d v="2026-01-07T01:50:00"/>
    <n v="499"/>
    <s v="UPI"/>
    <x v="0"/>
    <n v="40"/>
    <s v="Merchant_003"/>
    <s v="grocery"/>
    <x v="3"/>
    <n v="5.0000000000000001E-3"/>
    <n v="2.4950000000000001"/>
    <x v="25"/>
  </r>
  <r>
    <s v="TXN100293"/>
    <n v="204"/>
    <x v="8"/>
    <d v="2026-01-30T09:32:00"/>
    <n v="99"/>
    <s v="Wallet"/>
    <x v="0"/>
    <n v="60"/>
    <s v="Merchant_035"/>
    <s v="recharge"/>
    <x v="3"/>
    <n v="7.4999999999999997E-3"/>
    <n v="0.74249999999999994"/>
    <x v="3"/>
  </r>
  <r>
    <s v="TXN100294"/>
    <n v="332"/>
    <x v="6"/>
    <d v="2026-01-09T01:48:00"/>
    <n v="49"/>
    <s v="Card"/>
    <x v="0"/>
    <n v="36"/>
    <s v="Merchant_013"/>
    <s v="travel"/>
    <x v="3"/>
    <n v="1.2E-2"/>
    <n v="0.58799999999999997"/>
    <x v="10"/>
  </r>
  <r>
    <s v="TXN100295"/>
    <n v="336"/>
    <x v="3"/>
    <d v="2026-01-12T01:55:00"/>
    <n v="499"/>
    <s v="UPI"/>
    <x v="0"/>
    <n v="34"/>
    <s v="Merchant_022"/>
    <s v="travel"/>
    <x v="2"/>
    <n v="5.0000000000000001E-3"/>
    <n v="2.4950000000000001"/>
    <x v="28"/>
  </r>
  <r>
    <s v="TXN100296"/>
    <n v="205"/>
    <x v="26"/>
    <d v="2026-01-04T11:27:00"/>
    <n v="99"/>
    <s v="Wallet"/>
    <x v="0"/>
    <n v="49"/>
    <s v="Merchant_029"/>
    <s v="ecommerce"/>
    <x v="1"/>
    <n v="7.4999999999999997E-3"/>
    <n v="0.74249999999999994"/>
    <x v="1"/>
  </r>
  <r>
    <s v="TXN100297"/>
    <n v="255"/>
    <x v="31"/>
    <d v="2026-01-11T05:31:00"/>
    <n v="799"/>
    <s v="UPI"/>
    <x v="0"/>
    <n v="66"/>
    <s v="Merchant_024"/>
    <s v="grocery"/>
    <x v="1"/>
    <n v="5.0000000000000001E-3"/>
    <n v="3.9950000000000001"/>
    <x v="7"/>
  </r>
  <r>
    <s v="TXN100298"/>
    <n v="218"/>
    <x v="18"/>
    <d v="2026-01-09T02:46:00"/>
    <n v="99"/>
    <s v="UPI"/>
    <x v="0"/>
    <n v="55"/>
    <s v="Merchant_006"/>
    <s v="food_delivery"/>
    <x v="2"/>
    <n v="5.0000000000000001E-3"/>
    <n v="0.495"/>
    <x v="10"/>
  </r>
  <r>
    <s v="TXN100299"/>
    <n v="151"/>
    <x v="17"/>
    <d v="2026-01-20T05:34:00"/>
    <n v="49"/>
    <s v="UPI"/>
    <x v="0"/>
    <n v="13"/>
    <s v="Merchant_021"/>
    <s v="food_delivery"/>
    <x v="3"/>
    <n v="5.0000000000000001E-3"/>
    <n v="0.245"/>
    <x v="26"/>
  </r>
  <r>
    <s v="TXN100300"/>
    <n v="152"/>
    <x v="15"/>
    <d v="2026-01-03T10:42:00"/>
    <n v="49"/>
    <s v="UPI"/>
    <x v="0"/>
    <n v="57"/>
    <s v="Merchant_020"/>
    <s v="food_delivery"/>
    <x v="3"/>
    <n v="5.0000000000000001E-3"/>
    <n v="0.245"/>
    <x v="29"/>
  </r>
  <r>
    <s v="TXN100301"/>
    <n v="86"/>
    <x v="26"/>
    <d v="2026-01-20T22:27:00"/>
    <n v="149"/>
    <s v="Card"/>
    <x v="0"/>
    <n v="44"/>
    <s v="Merchant_029"/>
    <s v="ecommerce"/>
    <x v="1"/>
    <n v="1.2E-2"/>
    <n v="1.788"/>
    <x v="26"/>
  </r>
  <r>
    <s v="TXN100302"/>
    <n v="181"/>
    <x v="12"/>
    <d v="2026-01-15T01:46:00"/>
    <n v="149"/>
    <s v="UPI"/>
    <x v="0"/>
    <n v="55"/>
    <s v="Merchant_040"/>
    <s v="entertainment"/>
    <x v="2"/>
    <n v="5.0000000000000001E-3"/>
    <n v="0.745"/>
    <x v="17"/>
  </r>
  <r>
    <s v="TXN100303"/>
    <n v="30"/>
    <x v="32"/>
    <d v="2026-01-09T20:50:00"/>
    <n v="299"/>
    <s v="UPI"/>
    <x v="0"/>
    <n v="85"/>
    <s v="Merchant_005"/>
    <s v="recharge"/>
    <x v="2"/>
    <n v="5.0000000000000001E-3"/>
    <n v="1.4950000000000001"/>
    <x v="10"/>
  </r>
  <r>
    <s v="TXN100304"/>
    <n v="263"/>
    <x v="2"/>
    <d v="2026-01-21T12:23:00"/>
    <n v="149"/>
    <s v="Wallet"/>
    <x v="0"/>
    <n v="3"/>
    <s v="Merchant_011"/>
    <s v="ecommerce"/>
    <x v="1"/>
    <n v="7.4999999999999997E-3"/>
    <n v="1.1174999999999999"/>
    <x v="8"/>
  </r>
  <r>
    <s v="TXN100305"/>
    <n v="225"/>
    <x v="4"/>
    <d v="2026-01-05T19:43:00"/>
    <n v="99"/>
    <s v="Netbanking"/>
    <x v="0"/>
    <n v="16"/>
    <s v="Merchant_003"/>
    <s v="grocery"/>
    <x v="3"/>
    <n v="0.01"/>
    <n v="0.99"/>
    <x v="14"/>
  </r>
  <r>
    <s v="TXN100306"/>
    <n v="331"/>
    <x v="31"/>
    <d v="2026-01-03T07:49:00"/>
    <n v="49"/>
    <s v="Card"/>
    <x v="0"/>
    <n v="46"/>
    <s v="Merchant_024"/>
    <s v="grocery"/>
    <x v="1"/>
    <n v="1.2E-2"/>
    <n v="0.58799999999999997"/>
    <x v="29"/>
  </r>
  <r>
    <s v="TXN100307"/>
    <n v="310"/>
    <x v="34"/>
    <d v="2026-01-13T18:02:00"/>
    <n v="1499"/>
    <s v="Card"/>
    <x v="0"/>
    <n v="86"/>
    <s v="Merchant_010"/>
    <s v="grocery"/>
    <x v="0"/>
    <n v="1.2E-2"/>
    <n v="17.988"/>
    <x v="11"/>
  </r>
  <r>
    <s v="TXN100308"/>
    <n v="228"/>
    <x v="32"/>
    <d v="2026-01-15T11:23:00"/>
    <n v="49"/>
    <s v="UPI"/>
    <x v="0"/>
    <n v="73"/>
    <s v="Merchant_005"/>
    <s v="recharge"/>
    <x v="2"/>
    <n v="5.0000000000000001E-3"/>
    <n v="0.245"/>
    <x v="17"/>
  </r>
  <r>
    <s v="TXN100309"/>
    <n v="204"/>
    <x v="17"/>
    <d v="2026-01-05T16:23:00"/>
    <n v="499"/>
    <s v="UPI"/>
    <x v="0"/>
    <n v="83"/>
    <s v="Merchant_021"/>
    <s v="food_delivery"/>
    <x v="3"/>
    <n v="5.0000000000000001E-3"/>
    <n v="2.4950000000000001"/>
    <x v="14"/>
  </r>
  <r>
    <s v="TXN100310"/>
    <n v="14"/>
    <x v="9"/>
    <d v="2026-01-09T07:07:00"/>
    <n v="799"/>
    <s v="Netbanking"/>
    <x v="0"/>
    <n v="63"/>
    <s v="Merchant_012"/>
    <s v="ecommerce"/>
    <x v="3"/>
    <n v="0.01"/>
    <n v="7.99"/>
    <x v="10"/>
  </r>
  <r>
    <s v="TXN100311"/>
    <n v="288"/>
    <x v="30"/>
    <d v="2026-01-17T12:58:00"/>
    <n v="49"/>
    <s v="UPI"/>
    <x v="0"/>
    <n v="33"/>
    <s v="Merchant_008"/>
    <s v="food_delivery"/>
    <x v="1"/>
    <n v="5.0000000000000001E-3"/>
    <n v="0.245"/>
    <x v="18"/>
  </r>
  <r>
    <s v="TXN100312"/>
    <n v="229"/>
    <x v="16"/>
    <d v="2026-01-25T08:45:00"/>
    <n v="1499"/>
    <s v="UPI"/>
    <x v="0"/>
    <n v="78"/>
    <s v="Merchant_014"/>
    <s v="grocery"/>
    <x v="3"/>
    <n v="5.0000000000000001E-3"/>
    <n v="7.4950000000000001"/>
    <x v="21"/>
  </r>
  <r>
    <s v="TXN100313"/>
    <n v="252"/>
    <x v="6"/>
    <d v="2026-01-10T22:58:00"/>
    <n v="99"/>
    <s v="Wallet"/>
    <x v="0"/>
    <n v="15"/>
    <s v="Merchant_013"/>
    <s v="travel"/>
    <x v="3"/>
    <n v="7.4999999999999997E-3"/>
    <n v="0.74249999999999994"/>
    <x v="27"/>
  </r>
  <r>
    <s v="TXN100314"/>
    <n v="89"/>
    <x v="26"/>
    <d v="2026-01-05T02:28:00"/>
    <n v="799"/>
    <s v="UPI"/>
    <x v="0"/>
    <n v="11"/>
    <s v="Merchant_029"/>
    <s v="ecommerce"/>
    <x v="1"/>
    <n v="5.0000000000000001E-3"/>
    <n v="3.9950000000000001"/>
    <x v="14"/>
  </r>
  <r>
    <s v="TXN100315"/>
    <n v="164"/>
    <x v="5"/>
    <d v="2026-01-26T21:54:00"/>
    <n v="49"/>
    <s v="Netbanking"/>
    <x v="0"/>
    <n v="90"/>
    <s v="Merchant_023"/>
    <s v="travel"/>
    <x v="1"/>
    <n v="0.01"/>
    <n v="0.49"/>
    <x v="16"/>
  </r>
  <r>
    <s v="TXN100316"/>
    <n v="149"/>
    <x v="15"/>
    <d v="2026-01-03T17:34:00"/>
    <n v="299"/>
    <s v="Wallet"/>
    <x v="0"/>
    <n v="20"/>
    <s v="Merchant_020"/>
    <s v="food_delivery"/>
    <x v="3"/>
    <n v="7.4999999999999997E-3"/>
    <n v="2.2424999999999997"/>
    <x v="29"/>
  </r>
  <r>
    <s v="TXN100317"/>
    <n v="327"/>
    <x v="9"/>
    <d v="2026-01-23T22:59:00"/>
    <n v="49"/>
    <s v="Netbanking"/>
    <x v="0"/>
    <n v="46"/>
    <s v="Merchant_012"/>
    <s v="ecommerce"/>
    <x v="3"/>
    <n v="0.01"/>
    <n v="0.49"/>
    <x v="20"/>
  </r>
  <r>
    <s v="TXN100318"/>
    <n v="103"/>
    <x v="39"/>
    <d v="2026-01-17T07:07:00"/>
    <n v="149"/>
    <s v="UPI"/>
    <x v="0"/>
    <n v="30"/>
    <s v="Merchant_009"/>
    <s v="ecommerce"/>
    <x v="1"/>
    <n v="5.0000000000000001E-3"/>
    <n v="0.745"/>
    <x v="18"/>
  </r>
  <r>
    <s v="TXN100319"/>
    <n v="185"/>
    <x v="25"/>
    <d v="2026-01-26T15:01:00"/>
    <n v="49"/>
    <s v="Wallet"/>
    <x v="0"/>
    <n v="73"/>
    <s v="Merchant_036"/>
    <s v="entertainment"/>
    <x v="3"/>
    <n v="7.4999999999999997E-3"/>
    <n v="0.36749999999999999"/>
    <x v="16"/>
  </r>
  <r>
    <s v="TXN100320"/>
    <n v="283"/>
    <x v="39"/>
    <d v="2026-01-12T14:51:00"/>
    <n v="299"/>
    <s v="UPI"/>
    <x v="0"/>
    <n v="78"/>
    <s v="Merchant_009"/>
    <s v="ecommerce"/>
    <x v="1"/>
    <n v="5.0000000000000001E-3"/>
    <n v="1.4950000000000001"/>
    <x v="28"/>
  </r>
  <r>
    <s v="TXN100321"/>
    <n v="159"/>
    <x v="22"/>
    <d v="2026-01-29T02:04:00"/>
    <n v="99"/>
    <s v="UPI"/>
    <x v="0"/>
    <n v="91"/>
    <s v="Merchant_026"/>
    <s v="food_delivery"/>
    <x v="3"/>
    <n v="5.0000000000000001E-3"/>
    <n v="0.495"/>
    <x v="0"/>
  </r>
  <r>
    <s v="TXN100322"/>
    <n v="211"/>
    <x v="1"/>
    <d v="2026-01-24T15:33:00"/>
    <n v="99"/>
    <s v="Wallet"/>
    <x v="0"/>
    <n v="73"/>
    <s v="Merchant_027"/>
    <s v="ecommerce"/>
    <x v="1"/>
    <n v="7.4999999999999997E-3"/>
    <n v="0.74249999999999994"/>
    <x v="2"/>
  </r>
  <r>
    <s v="TXN100323"/>
    <n v="329"/>
    <x v="32"/>
    <d v="2026-01-03T04:20:00"/>
    <n v="499"/>
    <s v="Netbanking"/>
    <x v="0"/>
    <n v="57"/>
    <s v="Merchant_005"/>
    <s v="recharge"/>
    <x v="2"/>
    <n v="0.01"/>
    <n v="4.99"/>
    <x v="29"/>
  </r>
  <r>
    <s v="TXN100324"/>
    <n v="177"/>
    <x v="39"/>
    <d v="2026-01-15T21:33:00"/>
    <n v="99"/>
    <s v="UPI"/>
    <x v="0"/>
    <n v="99"/>
    <s v="Merchant_009"/>
    <s v="ecommerce"/>
    <x v="1"/>
    <n v="5.0000000000000001E-3"/>
    <n v="0.495"/>
    <x v="17"/>
  </r>
  <r>
    <s v="TXN100325"/>
    <n v="94"/>
    <x v="39"/>
    <d v="2026-01-18T20:37:00"/>
    <n v="299"/>
    <s v="UPI"/>
    <x v="0"/>
    <n v="55"/>
    <s v="Merchant_009"/>
    <s v="ecommerce"/>
    <x v="1"/>
    <n v="5.0000000000000001E-3"/>
    <n v="1.4950000000000001"/>
    <x v="15"/>
  </r>
  <r>
    <s v="TXN100326"/>
    <n v="64"/>
    <x v="36"/>
    <d v="2026-01-17T01:53:00"/>
    <n v="299"/>
    <s v="UPI"/>
    <x v="0"/>
    <n v="19"/>
    <s v="Merchant_034"/>
    <s v="travel"/>
    <x v="2"/>
    <n v="5.0000000000000001E-3"/>
    <n v="1.4950000000000001"/>
    <x v="18"/>
  </r>
  <r>
    <s v="TXN100327"/>
    <n v="166"/>
    <x v="19"/>
    <d v="2026-01-10T05:10:00"/>
    <n v="49"/>
    <s v="UPI"/>
    <x v="0"/>
    <n v="44"/>
    <s v="Merchant_015"/>
    <s v="travel"/>
    <x v="1"/>
    <n v="5.0000000000000001E-3"/>
    <n v="0.245"/>
    <x v="27"/>
  </r>
  <r>
    <s v="TXN100328"/>
    <n v="41"/>
    <x v="28"/>
    <d v="2026-01-17T09:54:00"/>
    <n v="299"/>
    <s v="Wallet"/>
    <x v="0"/>
    <n v="25"/>
    <s v="Merchant_017"/>
    <s v="grocery"/>
    <x v="1"/>
    <n v="7.4999999999999997E-3"/>
    <n v="2.2424999999999997"/>
    <x v="18"/>
  </r>
  <r>
    <s v="TXN100329"/>
    <n v="65"/>
    <x v="15"/>
    <d v="2026-01-21T17:17:00"/>
    <n v="99"/>
    <s v="Card"/>
    <x v="0"/>
    <n v="78"/>
    <s v="Merchant_020"/>
    <s v="food_delivery"/>
    <x v="3"/>
    <n v="1.2E-2"/>
    <n v="1.1879999999999999"/>
    <x v="8"/>
  </r>
  <r>
    <s v="TXN100330"/>
    <n v="329"/>
    <x v="2"/>
    <d v="2026-01-18T02:32:00"/>
    <n v="499"/>
    <s v="UPI"/>
    <x v="0"/>
    <n v="75"/>
    <s v="Merchant_011"/>
    <s v="ecommerce"/>
    <x v="1"/>
    <n v="5.0000000000000001E-3"/>
    <n v="2.4950000000000001"/>
    <x v="15"/>
  </r>
  <r>
    <s v="TXN100331"/>
    <n v="338"/>
    <x v="12"/>
    <d v="2026-01-19T04:10:00"/>
    <n v="149"/>
    <s v="UPI"/>
    <x v="0"/>
    <n v="92"/>
    <s v="Merchant_040"/>
    <s v="entertainment"/>
    <x v="2"/>
    <n v="5.0000000000000001E-3"/>
    <n v="0.745"/>
    <x v="23"/>
  </r>
  <r>
    <s v="TXN100332"/>
    <n v="289"/>
    <x v="4"/>
    <d v="2026-01-29T19:21:00"/>
    <n v="49"/>
    <s v="Netbanking"/>
    <x v="0"/>
    <n v="3"/>
    <s v="Merchant_003"/>
    <s v="grocery"/>
    <x v="3"/>
    <n v="0.01"/>
    <n v="0.49"/>
    <x v="0"/>
  </r>
  <r>
    <s v="TXN100333"/>
    <n v="296"/>
    <x v="28"/>
    <d v="2026-01-03T01:41:00"/>
    <n v="99"/>
    <s v="UPI"/>
    <x v="0"/>
    <n v="83"/>
    <s v="Merchant_017"/>
    <s v="grocery"/>
    <x v="1"/>
    <n v="5.0000000000000001E-3"/>
    <n v="0.495"/>
    <x v="29"/>
  </r>
  <r>
    <s v="TXN100334"/>
    <n v="317"/>
    <x v="27"/>
    <d v="2026-01-07T18:26:00"/>
    <n v="499"/>
    <s v="Card"/>
    <x v="0"/>
    <n v="63"/>
    <s v="Merchant_002"/>
    <s v="grocery"/>
    <x v="0"/>
    <n v="1.2E-2"/>
    <n v="5.9880000000000004"/>
    <x v="25"/>
  </r>
  <r>
    <s v="TXN100335"/>
    <n v="149"/>
    <x v="15"/>
    <d v="2026-01-29T20:34:00"/>
    <n v="499"/>
    <s v="Card"/>
    <x v="0"/>
    <n v="61"/>
    <s v="Merchant_020"/>
    <s v="food_delivery"/>
    <x v="3"/>
    <n v="1.2E-2"/>
    <n v="5.9880000000000004"/>
    <x v="0"/>
  </r>
  <r>
    <s v="TXN100336"/>
    <n v="153"/>
    <x v="24"/>
    <d v="2026-01-08T21:25:00"/>
    <n v="299"/>
    <s v="UPI"/>
    <x v="0"/>
    <n v="9"/>
    <s v="Merchant_030"/>
    <s v="travel"/>
    <x v="0"/>
    <n v="5.0000000000000001E-3"/>
    <n v="1.4950000000000001"/>
    <x v="5"/>
  </r>
  <r>
    <s v="TXN100337"/>
    <n v="226"/>
    <x v="1"/>
    <d v="2026-01-23T01:10:00"/>
    <n v="2999"/>
    <s v="UPI"/>
    <x v="2"/>
    <n v="61"/>
    <s v="Merchant_027"/>
    <s v="ecommerce"/>
    <x v="1"/>
    <n v="5.0000000000000001E-3"/>
    <n v="14.995000000000001"/>
    <x v="20"/>
  </r>
  <r>
    <s v="TXN100338"/>
    <n v="311"/>
    <x v="34"/>
    <d v="2026-01-15T06:21:00"/>
    <n v="2999"/>
    <s v="UPI"/>
    <x v="0"/>
    <n v="40"/>
    <s v="Merchant_010"/>
    <s v="grocery"/>
    <x v="0"/>
    <n v="5.0000000000000001E-3"/>
    <n v="14.995000000000001"/>
    <x v="17"/>
  </r>
  <r>
    <s v="TXN100339"/>
    <n v="177"/>
    <x v="22"/>
    <d v="2026-01-28T22:20:00"/>
    <n v="1499"/>
    <s v="UPI"/>
    <x v="0"/>
    <n v="16"/>
    <s v="Merchant_026"/>
    <s v="food_delivery"/>
    <x v="3"/>
    <n v="5.0000000000000001E-3"/>
    <n v="7.4950000000000001"/>
    <x v="19"/>
  </r>
  <r>
    <s v="TXN100340"/>
    <n v="288"/>
    <x v="23"/>
    <d v="2026-01-25T11:32:00"/>
    <n v="99"/>
    <s v="Netbanking"/>
    <x v="0"/>
    <n v="40"/>
    <s v="Merchant_007"/>
    <s v="food_delivery"/>
    <x v="3"/>
    <n v="0.01"/>
    <n v="0.99"/>
    <x v="21"/>
  </r>
  <r>
    <s v="TXN100341"/>
    <n v="137"/>
    <x v="26"/>
    <d v="2026-01-08T14:07:00"/>
    <n v="2999"/>
    <s v="UPI"/>
    <x v="1"/>
    <n v="31"/>
    <s v="Merchant_029"/>
    <s v="ecommerce"/>
    <x v="1"/>
    <n v="5.0000000000000001E-3"/>
    <n v="14.995000000000001"/>
    <x v="5"/>
  </r>
  <r>
    <s v="TXN100342"/>
    <n v="149"/>
    <x v="14"/>
    <d v="2026-01-05T03:03:00"/>
    <n v="1499"/>
    <s v="UPI"/>
    <x v="0"/>
    <n v="78"/>
    <s v="Merchant_025"/>
    <s v="travel"/>
    <x v="2"/>
    <n v="5.0000000000000001E-3"/>
    <n v="7.4950000000000001"/>
    <x v="14"/>
  </r>
  <r>
    <s v="TXN100343"/>
    <n v="82"/>
    <x v="17"/>
    <d v="2026-01-14T07:55:00"/>
    <n v="49"/>
    <s v="Wallet"/>
    <x v="0"/>
    <n v="73"/>
    <s v="Merchant_021"/>
    <s v="food_delivery"/>
    <x v="3"/>
    <n v="7.4999999999999997E-3"/>
    <n v="0.36749999999999999"/>
    <x v="12"/>
  </r>
  <r>
    <s v="TXN100344"/>
    <n v="82"/>
    <x v="33"/>
    <d v="2026-01-24T10:12:00"/>
    <n v="49"/>
    <s v="UPI"/>
    <x v="0"/>
    <n v="65"/>
    <s v="Merchant_032"/>
    <s v="food_delivery"/>
    <x v="0"/>
    <n v="5.0000000000000001E-3"/>
    <n v="0.245"/>
    <x v="2"/>
  </r>
  <r>
    <s v="TXN100345"/>
    <n v="158"/>
    <x v="33"/>
    <d v="2026-01-15T15:56:00"/>
    <n v="99"/>
    <s v="Wallet"/>
    <x v="0"/>
    <n v="2"/>
    <s v="Merchant_032"/>
    <s v="food_delivery"/>
    <x v="0"/>
    <n v="7.4999999999999997E-3"/>
    <n v="0.74249999999999994"/>
    <x v="17"/>
  </r>
  <r>
    <s v="TXN100346"/>
    <n v="235"/>
    <x v="0"/>
    <d v="2026-01-03T12:32:00"/>
    <n v="99"/>
    <s v="UPI"/>
    <x v="0"/>
    <n v="27"/>
    <s v="Merchant_016"/>
    <s v="bill_payment"/>
    <x v="0"/>
    <n v="5.0000000000000001E-3"/>
    <n v="0.495"/>
    <x v="29"/>
  </r>
  <r>
    <s v="TXN100347"/>
    <n v="26"/>
    <x v="13"/>
    <d v="2026-01-19T11:03:00"/>
    <n v="99"/>
    <s v="Wallet"/>
    <x v="0"/>
    <n v="63"/>
    <s v="Merchant_019"/>
    <s v="grocery"/>
    <x v="1"/>
    <n v="7.4999999999999997E-3"/>
    <n v="0.74249999999999994"/>
    <x v="23"/>
  </r>
  <r>
    <s v="TXN100348"/>
    <n v="241"/>
    <x v="13"/>
    <d v="2026-01-20T20:43:00"/>
    <n v="299"/>
    <s v="UPI"/>
    <x v="0"/>
    <n v="68"/>
    <s v="Merchant_019"/>
    <s v="grocery"/>
    <x v="1"/>
    <n v="5.0000000000000001E-3"/>
    <n v="1.4950000000000001"/>
    <x v="26"/>
  </r>
  <r>
    <s v="TXN100349"/>
    <n v="69"/>
    <x v="28"/>
    <d v="2026-01-01T03:27:00"/>
    <n v="1499"/>
    <s v="UPI"/>
    <x v="0"/>
    <n v="93"/>
    <s v="Merchant_017"/>
    <s v="grocery"/>
    <x v="1"/>
    <n v="5.0000000000000001E-3"/>
    <n v="7.4950000000000001"/>
    <x v="9"/>
  </r>
  <r>
    <s v="TXN100350"/>
    <n v="24"/>
    <x v="22"/>
    <d v="2026-01-12T12:23:00"/>
    <n v="299"/>
    <s v="Netbanking"/>
    <x v="0"/>
    <n v="6"/>
    <s v="Merchant_026"/>
    <s v="food_delivery"/>
    <x v="3"/>
    <n v="0.01"/>
    <n v="2.99"/>
    <x v="28"/>
  </r>
  <r>
    <s v="TXN100351"/>
    <n v="186"/>
    <x v="25"/>
    <d v="2026-01-19T17:12:00"/>
    <n v="4999"/>
    <s v="UPI"/>
    <x v="0"/>
    <n v="36"/>
    <s v="Merchant_036"/>
    <s v="entertainment"/>
    <x v="3"/>
    <n v="5.0000000000000001E-3"/>
    <n v="24.995000000000001"/>
    <x v="23"/>
  </r>
  <r>
    <s v="TXN100352"/>
    <n v="231"/>
    <x v="25"/>
    <d v="2026-01-03T12:32:00"/>
    <n v="149"/>
    <s v="UPI"/>
    <x v="0"/>
    <n v="35"/>
    <s v="Merchant_036"/>
    <s v="entertainment"/>
    <x v="3"/>
    <n v="5.0000000000000001E-3"/>
    <n v="0.745"/>
    <x v="29"/>
  </r>
  <r>
    <s v="TXN100353"/>
    <n v="313"/>
    <x v="30"/>
    <d v="2026-01-27T19:43:00"/>
    <n v="1499"/>
    <s v="Netbanking"/>
    <x v="0"/>
    <n v="16"/>
    <s v="Merchant_008"/>
    <s v="food_delivery"/>
    <x v="1"/>
    <n v="0.01"/>
    <n v="14.99"/>
    <x v="6"/>
  </r>
  <r>
    <s v="TXN100354"/>
    <n v="174"/>
    <x v="25"/>
    <d v="2026-01-04T12:23:00"/>
    <n v="149"/>
    <s v="UPI"/>
    <x v="0"/>
    <n v="46"/>
    <s v="Merchant_036"/>
    <s v="entertainment"/>
    <x v="3"/>
    <n v="5.0000000000000001E-3"/>
    <n v="0.745"/>
    <x v="1"/>
  </r>
  <r>
    <s v="TXN100355"/>
    <n v="309"/>
    <x v="11"/>
    <d v="2026-01-25T04:12:00"/>
    <n v="99"/>
    <s v="UPI"/>
    <x v="0"/>
    <n v="51"/>
    <s v="Merchant_033"/>
    <s v="bill_payment"/>
    <x v="3"/>
    <n v="5.0000000000000001E-3"/>
    <n v="0.495"/>
    <x v="21"/>
  </r>
  <r>
    <s v="TXN100356"/>
    <n v="20"/>
    <x v="39"/>
    <d v="2026-01-17T01:02:00"/>
    <n v="99"/>
    <s v="UPI"/>
    <x v="0"/>
    <n v="91"/>
    <s v="Merchant_009"/>
    <s v="ecommerce"/>
    <x v="1"/>
    <n v="5.0000000000000001E-3"/>
    <n v="0.495"/>
    <x v="18"/>
  </r>
  <r>
    <s v="TXN100357"/>
    <n v="234"/>
    <x v="34"/>
    <d v="2026-01-11T15:33:00"/>
    <n v="49"/>
    <s v="UPI"/>
    <x v="0"/>
    <n v="77"/>
    <s v="Merchant_010"/>
    <s v="grocery"/>
    <x v="0"/>
    <n v="5.0000000000000001E-3"/>
    <n v="0.245"/>
    <x v="7"/>
  </r>
  <r>
    <s v="TXN100358"/>
    <n v="168"/>
    <x v="12"/>
    <d v="2026-01-29T16:08:00"/>
    <n v="149"/>
    <s v="UPI"/>
    <x v="2"/>
    <n v="40"/>
    <s v="Merchant_040"/>
    <s v="entertainment"/>
    <x v="2"/>
    <n v="5.0000000000000001E-3"/>
    <n v="0.745"/>
    <x v="0"/>
  </r>
  <r>
    <s v="TXN100359"/>
    <n v="154"/>
    <x v="35"/>
    <d v="2026-01-06T12:39:00"/>
    <n v="99"/>
    <s v="Netbanking"/>
    <x v="0"/>
    <n v="43"/>
    <s v="Merchant_038"/>
    <s v="grocery"/>
    <x v="3"/>
    <n v="0.01"/>
    <n v="0.99"/>
    <x v="4"/>
  </r>
  <r>
    <s v="TXN100360"/>
    <n v="251"/>
    <x v="21"/>
    <d v="2026-01-17T16:34:00"/>
    <n v="49"/>
    <s v="UPI"/>
    <x v="0"/>
    <n v="38"/>
    <s v="Merchant_037"/>
    <s v="entertainment"/>
    <x v="2"/>
    <n v="5.0000000000000001E-3"/>
    <n v="0.245"/>
    <x v="18"/>
  </r>
  <r>
    <s v="TXN100361"/>
    <n v="170"/>
    <x v="30"/>
    <d v="2026-01-16T00:23:00"/>
    <n v="2999"/>
    <s v="UPI"/>
    <x v="0"/>
    <n v="53"/>
    <s v="Merchant_008"/>
    <s v="food_delivery"/>
    <x v="1"/>
    <n v="5.0000000000000001E-3"/>
    <n v="14.995000000000001"/>
    <x v="24"/>
  </r>
  <r>
    <s v="TXN100362"/>
    <n v="323"/>
    <x v="27"/>
    <d v="2026-01-19T09:50:00"/>
    <n v="49"/>
    <s v="Netbanking"/>
    <x v="0"/>
    <n v="76"/>
    <s v="Merchant_002"/>
    <s v="grocery"/>
    <x v="0"/>
    <n v="0.01"/>
    <n v="0.49"/>
    <x v="23"/>
  </r>
  <r>
    <s v="TXN100363"/>
    <n v="297"/>
    <x v="21"/>
    <d v="2026-01-16T08:41:00"/>
    <n v="2999"/>
    <s v="Wallet"/>
    <x v="0"/>
    <n v="29"/>
    <s v="Merchant_037"/>
    <s v="entertainment"/>
    <x v="2"/>
    <n v="7.4999999999999997E-3"/>
    <n v="22.4925"/>
    <x v="24"/>
  </r>
  <r>
    <s v="TXN100364"/>
    <n v="246"/>
    <x v="2"/>
    <d v="2026-01-24T01:37:00"/>
    <n v="299"/>
    <s v="UPI"/>
    <x v="0"/>
    <n v="67"/>
    <s v="Merchant_011"/>
    <s v="ecommerce"/>
    <x v="1"/>
    <n v="5.0000000000000001E-3"/>
    <n v="1.4950000000000001"/>
    <x v="2"/>
  </r>
  <r>
    <s v="TXN100365"/>
    <n v="195"/>
    <x v="34"/>
    <d v="2026-01-21T23:39:00"/>
    <n v="99"/>
    <s v="UPI"/>
    <x v="0"/>
    <n v="87"/>
    <s v="Merchant_010"/>
    <s v="grocery"/>
    <x v="0"/>
    <n v="5.0000000000000001E-3"/>
    <n v="0.495"/>
    <x v="8"/>
  </r>
  <r>
    <s v="TXN100366"/>
    <n v="57"/>
    <x v="6"/>
    <d v="2026-01-08T01:36:00"/>
    <n v="149"/>
    <s v="UPI"/>
    <x v="0"/>
    <n v="2"/>
    <s v="Merchant_013"/>
    <s v="travel"/>
    <x v="3"/>
    <n v="5.0000000000000001E-3"/>
    <n v="0.745"/>
    <x v="5"/>
  </r>
  <r>
    <s v="TXN100367"/>
    <n v="78"/>
    <x v="1"/>
    <d v="2026-01-15T10:26:00"/>
    <n v="1499"/>
    <s v="Netbanking"/>
    <x v="1"/>
    <n v="88"/>
    <s v="Merchant_027"/>
    <s v="ecommerce"/>
    <x v="1"/>
    <n v="0.01"/>
    <n v="14.99"/>
    <x v="17"/>
  </r>
  <r>
    <s v="TXN100368"/>
    <n v="314"/>
    <x v="20"/>
    <d v="2026-01-07T13:32:00"/>
    <n v="49"/>
    <s v="UPI"/>
    <x v="2"/>
    <n v="94"/>
    <s v="Merchant_031"/>
    <s v="bill_payment"/>
    <x v="3"/>
    <n v="5.0000000000000001E-3"/>
    <n v="0.245"/>
    <x v="25"/>
  </r>
  <r>
    <s v="TXN100369"/>
    <n v="71"/>
    <x v="36"/>
    <d v="2026-01-24T01:45:00"/>
    <n v="499"/>
    <s v="UPI"/>
    <x v="0"/>
    <n v="26"/>
    <s v="Merchant_034"/>
    <s v="travel"/>
    <x v="2"/>
    <n v="5.0000000000000001E-3"/>
    <n v="2.4950000000000001"/>
    <x v="2"/>
  </r>
  <r>
    <s v="TXN100370"/>
    <n v="245"/>
    <x v="36"/>
    <d v="2026-01-18T10:42:00"/>
    <n v="99"/>
    <s v="UPI"/>
    <x v="0"/>
    <n v="48"/>
    <s v="Merchant_034"/>
    <s v="travel"/>
    <x v="2"/>
    <n v="5.0000000000000001E-3"/>
    <n v="0.495"/>
    <x v="15"/>
  </r>
  <r>
    <s v="TXN100371"/>
    <n v="273"/>
    <x v="3"/>
    <d v="2026-01-11T05:29:00"/>
    <n v="299"/>
    <s v="Wallet"/>
    <x v="0"/>
    <n v="69"/>
    <s v="Merchant_022"/>
    <s v="travel"/>
    <x v="2"/>
    <n v="7.4999999999999997E-3"/>
    <n v="2.2424999999999997"/>
    <x v="7"/>
  </r>
  <r>
    <s v="TXN100372"/>
    <n v="349"/>
    <x v="28"/>
    <d v="2026-01-12T21:49:00"/>
    <n v="1499"/>
    <s v="UPI"/>
    <x v="0"/>
    <n v="78"/>
    <s v="Merchant_017"/>
    <s v="grocery"/>
    <x v="1"/>
    <n v="5.0000000000000001E-3"/>
    <n v="7.4950000000000001"/>
    <x v="28"/>
  </r>
  <r>
    <s v="TXN100373"/>
    <n v="143"/>
    <x v="25"/>
    <d v="2026-01-16T06:15:00"/>
    <n v="1499"/>
    <s v="Netbanking"/>
    <x v="0"/>
    <n v="38"/>
    <s v="Merchant_036"/>
    <s v="entertainment"/>
    <x v="3"/>
    <n v="0.01"/>
    <n v="14.99"/>
    <x v="24"/>
  </r>
  <r>
    <s v="TXN100374"/>
    <n v="148"/>
    <x v="16"/>
    <d v="2026-01-08T09:49:00"/>
    <n v="799"/>
    <s v="Wallet"/>
    <x v="0"/>
    <n v="88"/>
    <s v="Merchant_014"/>
    <s v="grocery"/>
    <x v="3"/>
    <n v="7.4999999999999997E-3"/>
    <n v="5.9924999999999997"/>
    <x v="5"/>
  </r>
  <r>
    <s v="TXN100375"/>
    <n v="246"/>
    <x v="5"/>
    <d v="2026-01-23T15:20:00"/>
    <n v="49"/>
    <s v="UPI"/>
    <x v="0"/>
    <n v="71"/>
    <s v="Merchant_023"/>
    <s v="travel"/>
    <x v="1"/>
    <n v="5.0000000000000001E-3"/>
    <n v="0.245"/>
    <x v="20"/>
  </r>
  <r>
    <s v="TXN100376"/>
    <n v="148"/>
    <x v="30"/>
    <d v="2026-01-30T23:17:00"/>
    <n v="99"/>
    <s v="Wallet"/>
    <x v="0"/>
    <n v="73"/>
    <s v="Merchant_008"/>
    <s v="food_delivery"/>
    <x v="1"/>
    <n v="7.4999999999999997E-3"/>
    <n v="0.74249999999999994"/>
    <x v="3"/>
  </r>
  <r>
    <s v="TXN100377"/>
    <n v="203"/>
    <x v="5"/>
    <d v="2026-01-22T17:24:00"/>
    <n v="49"/>
    <s v="UPI"/>
    <x v="0"/>
    <n v="98"/>
    <s v="Merchant_023"/>
    <s v="travel"/>
    <x v="1"/>
    <n v="5.0000000000000001E-3"/>
    <n v="0.245"/>
    <x v="13"/>
  </r>
  <r>
    <s v="TXN100378"/>
    <n v="22"/>
    <x v="13"/>
    <d v="2026-01-26T04:18:00"/>
    <n v="49"/>
    <s v="Card"/>
    <x v="0"/>
    <n v="91"/>
    <s v="Merchant_019"/>
    <s v="grocery"/>
    <x v="1"/>
    <n v="1.2E-2"/>
    <n v="0.58799999999999997"/>
    <x v="16"/>
  </r>
  <r>
    <s v="TXN100379"/>
    <n v="227"/>
    <x v="28"/>
    <d v="2026-01-03T11:59:00"/>
    <n v="299"/>
    <s v="Wallet"/>
    <x v="0"/>
    <n v="95"/>
    <s v="Merchant_017"/>
    <s v="grocery"/>
    <x v="1"/>
    <n v="7.4999999999999997E-3"/>
    <n v="2.2424999999999997"/>
    <x v="29"/>
  </r>
  <r>
    <s v="TXN100380"/>
    <n v="276"/>
    <x v="7"/>
    <d v="2026-01-16T06:12:00"/>
    <n v="149"/>
    <s v="Wallet"/>
    <x v="0"/>
    <n v="71"/>
    <s v="Merchant_018"/>
    <s v="grocery"/>
    <x v="0"/>
    <n v="7.4999999999999997E-3"/>
    <n v="1.1174999999999999"/>
    <x v="24"/>
  </r>
  <r>
    <s v="TXN100381"/>
    <n v="56"/>
    <x v="12"/>
    <d v="2026-01-23T08:08:00"/>
    <n v="99"/>
    <s v="Card"/>
    <x v="0"/>
    <n v="94"/>
    <s v="Merchant_040"/>
    <s v="entertainment"/>
    <x v="2"/>
    <n v="1.2E-2"/>
    <n v="1.1879999999999999"/>
    <x v="20"/>
  </r>
  <r>
    <s v="TXN100382"/>
    <n v="26"/>
    <x v="36"/>
    <d v="2026-01-19T07:15:00"/>
    <n v="499"/>
    <s v="Card"/>
    <x v="0"/>
    <n v="28"/>
    <s v="Merchant_034"/>
    <s v="travel"/>
    <x v="2"/>
    <n v="1.2E-2"/>
    <n v="5.9880000000000004"/>
    <x v="23"/>
  </r>
  <r>
    <s v="TXN100383"/>
    <n v="52"/>
    <x v="1"/>
    <d v="2026-01-21T07:03:00"/>
    <n v="499"/>
    <s v="Card"/>
    <x v="0"/>
    <n v="42"/>
    <s v="Merchant_027"/>
    <s v="ecommerce"/>
    <x v="1"/>
    <n v="1.2E-2"/>
    <n v="5.9880000000000004"/>
    <x v="8"/>
  </r>
  <r>
    <s v="TXN100384"/>
    <n v="349"/>
    <x v="39"/>
    <d v="2026-01-23T15:06:00"/>
    <n v="499"/>
    <s v="Wallet"/>
    <x v="0"/>
    <n v="0"/>
    <s v="Merchant_009"/>
    <s v="ecommerce"/>
    <x v="1"/>
    <n v="7.4999999999999997E-3"/>
    <n v="3.7424999999999997"/>
    <x v="20"/>
  </r>
  <r>
    <s v="TXN100385"/>
    <n v="335"/>
    <x v="20"/>
    <d v="2026-01-18T05:26:00"/>
    <n v="49"/>
    <s v="Card"/>
    <x v="0"/>
    <n v="61"/>
    <s v="Merchant_031"/>
    <s v="bill_payment"/>
    <x v="3"/>
    <n v="1.2E-2"/>
    <n v="0.58799999999999997"/>
    <x v="15"/>
  </r>
  <r>
    <s v="TXN100386"/>
    <n v="148"/>
    <x v="17"/>
    <d v="2026-01-21T06:48:00"/>
    <n v="49"/>
    <s v="Card"/>
    <x v="0"/>
    <n v="36"/>
    <s v="Merchant_021"/>
    <s v="food_delivery"/>
    <x v="3"/>
    <n v="1.2E-2"/>
    <n v="0.58799999999999997"/>
    <x v="8"/>
  </r>
  <r>
    <s v="TXN100387"/>
    <n v="46"/>
    <x v="21"/>
    <d v="2026-01-21T01:58:00"/>
    <n v="99"/>
    <s v="Wallet"/>
    <x v="0"/>
    <n v="29"/>
    <s v="Merchant_037"/>
    <s v="entertainment"/>
    <x v="2"/>
    <n v="7.4999999999999997E-3"/>
    <n v="0.74249999999999994"/>
    <x v="8"/>
  </r>
  <r>
    <s v="TXN100388"/>
    <n v="20"/>
    <x v="9"/>
    <d v="2026-01-18T23:46:00"/>
    <n v="799"/>
    <s v="Card"/>
    <x v="0"/>
    <n v="53"/>
    <s v="Merchant_012"/>
    <s v="ecommerce"/>
    <x v="3"/>
    <n v="1.2E-2"/>
    <n v="9.588000000000001"/>
    <x v="15"/>
  </r>
  <r>
    <s v="TXN100389"/>
    <n v="19"/>
    <x v="22"/>
    <d v="2026-01-29T05:59:00"/>
    <n v="49"/>
    <s v="UPI"/>
    <x v="0"/>
    <n v="100"/>
    <s v="Merchant_026"/>
    <s v="food_delivery"/>
    <x v="3"/>
    <n v="5.0000000000000001E-3"/>
    <n v="0.245"/>
    <x v="0"/>
  </r>
  <r>
    <s v="TXN100390"/>
    <n v="149"/>
    <x v="4"/>
    <d v="2026-01-16T05:59:00"/>
    <n v="4999"/>
    <s v="Wallet"/>
    <x v="0"/>
    <n v="1"/>
    <s v="Merchant_003"/>
    <s v="grocery"/>
    <x v="3"/>
    <n v="7.4999999999999997E-3"/>
    <n v="37.4925"/>
    <x v="24"/>
  </r>
  <r>
    <s v="TXN100391"/>
    <n v="55"/>
    <x v="3"/>
    <d v="2026-01-10T18:38:00"/>
    <n v="499"/>
    <s v="UPI"/>
    <x v="0"/>
    <n v="36"/>
    <s v="Merchant_022"/>
    <s v="travel"/>
    <x v="2"/>
    <n v="5.0000000000000001E-3"/>
    <n v="2.4950000000000001"/>
    <x v="27"/>
  </r>
  <r>
    <s v="TXN100392"/>
    <n v="269"/>
    <x v="33"/>
    <d v="2026-01-15T20:34:00"/>
    <n v="49"/>
    <s v="Card"/>
    <x v="0"/>
    <n v="17"/>
    <s v="Merchant_032"/>
    <s v="food_delivery"/>
    <x v="0"/>
    <n v="1.2E-2"/>
    <n v="0.58799999999999997"/>
    <x v="17"/>
  </r>
  <r>
    <s v="TXN100393"/>
    <n v="140"/>
    <x v="6"/>
    <d v="2026-01-28T16:29:00"/>
    <n v="2999"/>
    <s v="UPI"/>
    <x v="0"/>
    <n v="14"/>
    <s v="Merchant_013"/>
    <s v="travel"/>
    <x v="3"/>
    <n v="5.0000000000000001E-3"/>
    <n v="14.995000000000001"/>
    <x v="19"/>
  </r>
  <r>
    <s v="TXN100394"/>
    <n v="235"/>
    <x v="28"/>
    <d v="2026-01-11T05:46:00"/>
    <n v="2999"/>
    <s v="UPI"/>
    <x v="0"/>
    <n v="91"/>
    <s v="Merchant_017"/>
    <s v="grocery"/>
    <x v="1"/>
    <n v="5.0000000000000001E-3"/>
    <n v="14.995000000000001"/>
    <x v="7"/>
  </r>
  <r>
    <s v="TXN100395"/>
    <n v="173"/>
    <x v="13"/>
    <d v="2026-01-06T00:47:00"/>
    <n v="499"/>
    <s v="UPI"/>
    <x v="1"/>
    <n v="72"/>
    <s v="Merchant_019"/>
    <s v="grocery"/>
    <x v="1"/>
    <n v="5.0000000000000001E-3"/>
    <n v="2.4950000000000001"/>
    <x v="4"/>
  </r>
  <r>
    <s v="TXN100396"/>
    <n v="313"/>
    <x v="22"/>
    <d v="2026-01-22T06:11:00"/>
    <n v="499"/>
    <s v="UPI"/>
    <x v="0"/>
    <n v="54"/>
    <s v="Merchant_026"/>
    <s v="food_delivery"/>
    <x v="3"/>
    <n v="5.0000000000000001E-3"/>
    <n v="2.4950000000000001"/>
    <x v="13"/>
  </r>
  <r>
    <s v="TXN100397"/>
    <n v="206"/>
    <x v="23"/>
    <d v="2026-01-17T10:05:00"/>
    <n v="149"/>
    <s v="Wallet"/>
    <x v="0"/>
    <n v="23"/>
    <s v="Merchant_007"/>
    <s v="food_delivery"/>
    <x v="3"/>
    <n v="7.4999999999999997E-3"/>
    <n v="1.1174999999999999"/>
    <x v="18"/>
  </r>
  <r>
    <s v="TXN100398"/>
    <n v="128"/>
    <x v="37"/>
    <d v="2026-01-05T15:20:00"/>
    <n v="1499"/>
    <s v="Netbanking"/>
    <x v="0"/>
    <n v="33"/>
    <s v="Merchant_001"/>
    <s v="ecommerce"/>
    <x v="2"/>
    <n v="0.01"/>
    <n v="14.99"/>
    <x v="14"/>
  </r>
  <r>
    <s v="TXN100399"/>
    <n v="137"/>
    <x v="3"/>
    <d v="2026-01-13T07:28:00"/>
    <n v="799"/>
    <s v="UPI"/>
    <x v="1"/>
    <n v="38"/>
    <s v="Merchant_022"/>
    <s v="travel"/>
    <x v="2"/>
    <n v="5.0000000000000001E-3"/>
    <n v="3.9950000000000001"/>
    <x v="11"/>
  </r>
  <r>
    <s v="TXN100400"/>
    <n v="6"/>
    <x v="28"/>
    <d v="2026-01-19T23:36:00"/>
    <n v="49"/>
    <s v="UPI"/>
    <x v="0"/>
    <n v="83"/>
    <s v="Merchant_017"/>
    <s v="grocery"/>
    <x v="1"/>
    <n v="5.0000000000000001E-3"/>
    <n v="0.245"/>
    <x v="23"/>
  </r>
  <r>
    <s v="TXN100401"/>
    <n v="32"/>
    <x v="30"/>
    <d v="2026-01-12T22:15:00"/>
    <n v="299"/>
    <s v="Card"/>
    <x v="0"/>
    <n v="59"/>
    <s v="Merchant_008"/>
    <s v="food_delivery"/>
    <x v="1"/>
    <n v="1.2E-2"/>
    <n v="3.5880000000000001"/>
    <x v="28"/>
  </r>
  <r>
    <s v="TXN100402"/>
    <n v="258"/>
    <x v="15"/>
    <d v="2026-01-10T05:25:00"/>
    <n v="149"/>
    <s v="UPI"/>
    <x v="0"/>
    <n v="88"/>
    <s v="Merchant_020"/>
    <s v="food_delivery"/>
    <x v="3"/>
    <n v="5.0000000000000001E-3"/>
    <n v="0.745"/>
    <x v="27"/>
  </r>
  <r>
    <s v="TXN100403"/>
    <n v="152"/>
    <x v="31"/>
    <d v="2026-01-04T20:58:00"/>
    <n v="149"/>
    <s v="UPI"/>
    <x v="2"/>
    <n v="78"/>
    <s v="Merchant_024"/>
    <s v="grocery"/>
    <x v="1"/>
    <n v="5.0000000000000001E-3"/>
    <n v="0.745"/>
    <x v="1"/>
  </r>
  <r>
    <s v="TXN100404"/>
    <n v="245"/>
    <x v="34"/>
    <d v="2026-01-08T07:08:00"/>
    <n v="799"/>
    <s v="Wallet"/>
    <x v="0"/>
    <n v="58"/>
    <s v="Merchant_010"/>
    <s v="grocery"/>
    <x v="0"/>
    <n v="7.4999999999999997E-3"/>
    <n v="5.9924999999999997"/>
    <x v="5"/>
  </r>
  <r>
    <s v="TXN100405"/>
    <n v="213"/>
    <x v="25"/>
    <d v="2026-01-24T19:23:00"/>
    <n v="49"/>
    <s v="Wallet"/>
    <x v="0"/>
    <n v="60"/>
    <s v="Merchant_036"/>
    <s v="entertainment"/>
    <x v="3"/>
    <n v="7.4999999999999997E-3"/>
    <n v="0.36749999999999999"/>
    <x v="2"/>
  </r>
  <r>
    <s v="TXN100406"/>
    <n v="341"/>
    <x v="16"/>
    <d v="2026-01-25T17:51:00"/>
    <n v="99"/>
    <s v="Netbanking"/>
    <x v="0"/>
    <n v="97"/>
    <s v="Merchant_014"/>
    <s v="grocery"/>
    <x v="3"/>
    <n v="0.01"/>
    <n v="0.99"/>
    <x v="21"/>
  </r>
  <r>
    <s v="TXN100407"/>
    <n v="306"/>
    <x v="18"/>
    <d v="2026-01-08T21:48:00"/>
    <n v="149"/>
    <s v="Netbanking"/>
    <x v="0"/>
    <n v="67"/>
    <s v="Merchant_006"/>
    <s v="food_delivery"/>
    <x v="2"/>
    <n v="0.01"/>
    <n v="1.49"/>
    <x v="5"/>
  </r>
  <r>
    <s v="TXN100408"/>
    <n v="186"/>
    <x v="32"/>
    <d v="2026-01-15T16:45:00"/>
    <n v="499"/>
    <s v="UPI"/>
    <x v="0"/>
    <n v="72"/>
    <s v="Merchant_005"/>
    <s v="recharge"/>
    <x v="2"/>
    <n v="5.0000000000000001E-3"/>
    <n v="2.4950000000000001"/>
    <x v="17"/>
  </r>
  <r>
    <s v="TXN100409"/>
    <n v="281"/>
    <x v="11"/>
    <d v="2026-01-04T01:53:00"/>
    <n v="4999"/>
    <s v="UPI"/>
    <x v="0"/>
    <n v="25"/>
    <s v="Merchant_033"/>
    <s v="bill_payment"/>
    <x v="3"/>
    <n v="5.0000000000000001E-3"/>
    <n v="24.995000000000001"/>
    <x v="1"/>
  </r>
  <r>
    <s v="TXN100410"/>
    <n v="85"/>
    <x v="17"/>
    <d v="2026-01-19T17:09:00"/>
    <n v="99"/>
    <s v="UPI"/>
    <x v="0"/>
    <n v="66"/>
    <s v="Merchant_021"/>
    <s v="food_delivery"/>
    <x v="3"/>
    <n v="5.0000000000000001E-3"/>
    <n v="0.495"/>
    <x v="23"/>
  </r>
  <r>
    <s v="TXN100411"/>
    <n v="106"/>
    <x v="35"/>
    <d v="2026-01-15T03:43:00"/>
    <n v="499"/>
    <s v="UPI"/>
    <x v="0"/>
    <n v="62"/>
    <s v="Merchant_038"/>
    <s v="grocery"/>
    <x v="3"/>
    <n v="5.0000000000000001E-3"/>
    <n v="2.4950000000000001"/>
    <x v="17"/>
  </r>
  <r>
    <s v="TXN100412"/>
    <n v="29"/>
    <x v="24"/>
    <d v="2026-01-03T16:28:00"/>
    <n v="149"/>
    <s v="Netbanking"/>
    <x v="0"/>
    <n v="16"/>
    <s v="Merchant_030"/>
    <s v="travel"/>
    <x v="0"/>
    <n v="0.01"/>
    <n v="1.49"/>
    <x v="29"/>
  </r>
  <r>
    <s v="TXN100413"/>
    <n v="289"/>
    <x v="29"/>
    <d v="2026-01-17T13:29:00"/>
    <n v="1499"/>
    <s v="Card"/>
    <x v="0"/>
    <n v="71"/>
    <s v="Merchant_004"/>
    <s v="ecommerce"/>
    <x v="3"/>
    <n v="1.2E-2"/>
    <n v="17.988"/>
    <x v="18"/>
  </r>
  <r>
    <s v="TXN100414"/>
    <n v="158"/>
    <x v="27"/>
    <d v="2026-01-15T21:51:00"/>
    <n v="1499"/>
    <s v="Card"/>
    <x v="0"/>
    <n v="50"/>
    <s v="Merchant_002"/>
    <s v="grocery"/>
    <x v="0"/>
    <n v="1.2E-2"/>
    <n v="17.988"/>
    <x v="17"/>
  </r>
  <r>
    <s v="TXN100415"/>
    <n v="112"/>
    <x v="35"/>
    <d v="2026-01-09T00:47:00"/>
    <n v="49"/>
    <s v="UPI"/>
    <x v="0"/>
    <n v="9"/>
    <s v="Merchant_038"/>
    <s v="grocery"/>
    <x v="3"/>
    <n v="5.0000000000000001E-3"/>
    <n v="0.245"/>
    <x v="10"/>
  </r>
  <r>
    <s v="TXN100416"/>
    <n v="33"/>
    <x v="8"/>
    <d v="2026-01-02T13:22:00"/>
    <n v="299"/>
    <s v="Card"/>
    <x v="1"/>
    <n v="7"/>
    <s v="Merchant_035"/>
    <s v="recharge"/>
    <x v="3"/>
    <n v="1.2E-2"/>
    <n v="3.5880000000000001"/>
    <x v="22"/>
  </r>
  <r>
    <s v="TXN100417"/>
    <n v="242"/>
    <x v="4"/>
    <d v="2026-01-30T02:59:00"/>
    <n v="49"/>
    <s v="UPI"/>
    <x v="0"/>
    <n v="36"/>
    <s v="Merchant_003"/>
    <s v="grocery"/>
    <x v="3"/>
    <n v="5.0000000000000001E-3"/>
    <n v="0.245"/>
    <x v="3"/>
  </r>
  <r>
    <s v="TXN100418"/>
    <n v="70"/>
    <x v="1"/>
    <d v="2026-01-14T05:49:00"/>
    <n v="149"/>
    <s v="UPI"/>
    <x v="0"/>
    <n v="47"/>
    <s v="Merchant_027"/>
    <s v="ecommerce"/>
    <x v="1"/>
    <n v="5.0000000000000001E-3"/>
    <n v="0.745"/>
    <x v="12"/>
  </r>
  <r>
    <s v="TXN100419"/>
    <n v="194"/>
    <x v="14"/>
    <d v="2026-01-29T12:28:00"/>
    <n v="49"/>
    <s v="Wallet"/>
    <x v="0"/>
    <n v="10"/>
    <s v="Merchant_025"/>
    <s v="travel"/>
    <x v="2"/>
    <n v="7.4999999999999997E-3"/>
    <n v="0.36749999999999999"/>
    <x v="0"/>
  </r>
  <r>
    <s v="TXN100420"/>
    <n v="277"/>
    <x v="39"/>
    <d v="2026-01-22T21:55:00"/>
    <n v="799"/>
    <s v="UPI"/>
    <x v="0"/>
    <n v="83"/>
    <s v="Merchant_009"/>
    <s v="ecommerce"/>
    <x v="1"/>
    <n v="5.0000000000000001E-3"/>
    <n v="3.9950000000000001"/>
    <x v="13"/>
  </r>
  <r>
    <s v="TXN100421"/>
    <n v="92"/>
    <x v="8"/>
    <d v="2026-01-28T11:07:00"/>
    <n v="49"/>
    <s v="UPI"/>
    <x v="0"/>
    <n v="50"/>
    <s v="Merchant_035"/>
    <s v="recharge"/>
    <x v="3"/>
    <n v="5.0000000000000001E-3"/>
    <n v="0.245"/>
    <x v="19"/>
  </r>
  <r>
    <s v="TXN100422"/>
    <n v="115"/>
    <x v="37"/>
    <d v="2026-01-17T04:46:00"/>
    <n v="149"/>
    <s v="Wallet"/>
    <x v="0"/>
    <n v="96"/>
    <s v="Merchant_001"/>
    <s v="ecommerce"/>
    <x v="2"/>
    <n v="7.4999999999999997E-3"/>
    <n v="1.1174999999999999"/>
    <x v="18"/>
  </r>
  <r>
    <s v="TXN100423"/>
    <n v="345"/>
    <x v="8"/>
    <d v="2026-01-01T09:29:00"/>
    <n v="499"/>
    <s v="Card"/>
    <x v="0"/>
    <n v="54"/>
    <s v="Merchant_035"/>
    <s v="recharge"/>
    <x v="3"/>
    <n v="1.2E-2"/>
    <n v="5.9880000000000004"/>
    <x v="9"/>
  </r>
  <r>
    <s v="TXN100424"/>
    <n v="118"/>
    <x v="0"/>
    <d v="2026-01-18T12:52:00"/>
    <n v="49"/>
    <s v="UPI"/>
    <x v="0"/>
    <n v="58"/>
    <s v="Merchant_016"/>
    <s v="bill_payment"/>
    <x v="0"/>
    <n v="5.0000000000000001E-3"/>
    <n v="0.245"/>
    <x v="15"/>
  </r>
  <r>
    <s v="TXN100425"/>
    <n v="97"/>
    <x v="30"/>
    <d v="2026-01-12T04:17:00"/>
    <n v="99"/>
    <s v="Netbanking"/>
    <x v="0"/>
    <n v="4"/>
    <s v="Merchant_008"/>
    <s v="food_delivery"/>
    <x v="1"/>
    <n v="0.01"/>
    <n v="0.99"/>
    <x v="28"/>
  </r>
  <r>
    <s v="TXN100426"/>
    <n v="315"/>
    <x v="27"/>
    <d v="2026-01-26T21:26:00"/>
    <n v="299"/>
    <s v="Wallet"/>
    <x v="0"/>
    <n v="30"/>
    <s v="Merchant_002"/>
    <s v="grocery"/>
    <x v="0"/>
    <n v="7.4999999999999997E-3"/>
    <n v="2.2424999999999997"/>
    <x v="16"/>
  </r>
  <r>
    <s v="TXN100427"/>
    <n v="305"/>
    <x v="4"/>
    <d v="2026-01-07T02:06:00"/>
    <n v="299"/>
    <s v="UPI"/>
    <x v="0"/>
    <n v="57"/>
    <s v="Merchant_003"/>
    <s v="grocery"/>
    <x v="3"/>
    <n v="5.0000000000000001E-3"/>
    <n v="1.4950000000000001"/>
    <x v="25"/>
  </r>
  <r>
    <s v="TXN100428"/>
    <n v="25"/>
    <x v="0"/>
    <d v="2026-01-20T21:45:00"/>
    <n v="299"/>
    <s v="UPI"/>
    <x v="0"/>
    <n v="94"/>
    <s v="Merchant_016"/>
    <s v="bill_payment"/>
    <x v="0"/>
    <n v="5.0000000000000001E-3"/>
    <n v="1.4950000000000001"/>
    <x v="26"/>
  </r>
  <r>
    <s v="TXN100429"/>
    <n v="120"/>
    <x v="8"/>
    <d v="2026-01-02T12:28:00"/>
    <n v="49"/>
    <s v="UPI"/>
    <x v="0"/>
    <n v="27"/>
    <s v="Merchant_035"/>
    <s v="recharge"/>
    <x v="3"/>
    <n v="5.0000000000000001E-3"/>
    <n v="0.245"/>
    <x v="22"/>
  </r>
  <r>
    <s v="TXN100430"/>
    <n v="258"/>
    <x v="13"/>
    <d v="2026-01-25T01:08:00"/>
    <n v="49"/>
    <s v="Wallet"/>
    <x v="0"/>
    <n v="29"/>
    <s v="Merchant_019"/>
    <s v="grocery"/>
    <x v="1"/>
    <n v="7.4999999999999997E-3"/>
    <n v="0.36749999999999999"/>
    <x v="21"/>
  </r>
  <r>
    <s v="TXN100431"/>
    <n v="164"/>
    <x v="21"/>
    <d v="2026-01-27T23:36:00"/>
    <n v="799"/>
    <s v="UPI"/>
    <x v="0"/>
    <n v="76"/>
    <s v="Merchant_037"/>
    <s v="entertainment"/>
    <x v="2"/>
    <n v="5.0000000000000001E-3"/>
    <n v="3.9950000000000001"/>
    <x v="6"/>
  </r>
  <r>
    <s v="TXN100432"/>
    <n v="165"/>
    <x v="0"/>
    <d v="2026-01-25T21:52:00"/>
    <n v="49"/>
    <s v="Wallet"/>
    <x v="0"/>
    <n v="38"/>
    <s v="Merchant_016"/>
    <s v="bill_payment"/>
    <x v="0"/>
    <n v="7.4999999999999997E-3"/>
    <n v="0.36749999999999999"/>
    <x v="21"/>
  </r>
  <r>
    <s v="TXN100433"/>
    <n v="267"/>
    <x v="19"/>
    <d v="2026-01-29T04:42:00"/>
    <n v="49"/>
    <s v="Netbanking"/>
    <x v="0"/>
    <n v="52"/>
    <s v="Merchant_015"/>
    <s v="travel"/>
    <x v="1"/>
    <n v="0.01"/>
    <n v="0.49"/>
    <x v="0"/>
  </r>
  <r>
    <s v="TXN100434"/>
    <n v="286"/>
    <x v="35"/>
    <d v="2026-01-10T08:03:00"/>
    <n v="299"/>
    <s v="Wallet"/>
    <x v="0"/>
    <n v="94"/>
    <s v="Merchant_038"/>
    <s v="grocery"/>
    <x v="3"/>
    <n v="7.4999999999999997E-3"/>
    <n v="2.2424999999999997"/>
    <x v="27"/>
  </r>
  <r>
    <s v="TXN100435"/>
    <n v="348"/>
    <x v="10"/>
    <d v="2026-01-30T05:40:00"/>
    <n v="499"/>
    <s v="Card"/>
    <x v="0"/>
    <n v="71"/>
    <s v="Merchant_028"/>
    <s v="ecommerce"/>
    <x v="2"/>
    <n v="1.2E-2"/>
    <n v="5.9880000000000004"/>
    <x v="3"/>
  </r>
  <r>
    <s v="TXN100436"/>
    <n v="330"/>
    <x v="14"/>
    <d v="2026-01-16T01:22:00"/>
    <n v="799"/>
    <s v="UPI"/>
    <x v="0"/>
    <n v="100"/>
    <s v="Merchant_025"/>
    <s v="travel"/>
    <x v="2"/>
    <n v="5.0000000000000001E-3"/>
    <n v="3.9950000000000001"/>
    <x v="24"/>
  </r>
  <r>
    <s v="TXN100437"/>
    <n v="214"/>
    <x v="1"/>
    <d v="2026-01-17T10:44:00"/>
    <n v="299"/>
    <s v="Card"/>
    <x v="0"/>
    <n v="19"/>
    <s v="Merchant_027"/>
    <s v="ecommerce"/>
    <x v="1"/>
    <n v="1.2E-2"/>
    <n v="3.5880000000000001"/>
    <x v="18"/>
  </r>
  <r>
    <s v="TXN100438"/>
    <n v="276"/>
    <x v="20"/>
    <d v="2026-01-10T12:11:00"/>
    <n v="499"/>
    <s v="UPI"/>
    <x v="0"/>
    <n v="30"/>
    <s v="Merchant_031"/>
    <s v="bill_payment"/>
    <x v="3"/>
    <n v="5.0000000000000001E-3"/>
    <n v="2.4950000000000001"/>
    <x v="27"/>
  </r>
  <r>
    <s v="TXN100439"/>
    <n v="74"/>
    <x v="24"/>
    <d v="2026-01-28T07:19:00"/>
    <n v="49"/>
    <s v="UPI"/>
    <x v="0"/>
    <n v="7"/>
    <s v="Merchant_030"/>
    <s v="travel"/>
    <x v="0"/>
    <n v="5.0000000000000001E-3"/>
    <n v="0.245"/>
    <x v="19"/>
  </r>
  <r>
    <s v="TXN100440"/>
    <n v="286"/>
    <x v="36"/>
    <d v="2026-01-18T13:26:00"/>
    <n v="49"/>
    <s v="Card"/>
    <x v="0"/>
    <n v="17"/>
    <s v="Merchant_034"/>
    <s v="travel"/>
    <x v="2"/>
    <n v="1.2E-2"/>
    <n v="0.58799999999999997"/>
    <x v="15"/>
  </r>
  <r>
    <s v="TXN100441"/>
    <n v="105"/>
    <x v="3"/>
    <d v="2026-01-13T07:16:00"/>
    <n v="4999"/>
    <s v="UPI"/>
    <x v="0"/>
    <n v="82"/>
    <s v="Merchant_022"/>
    <s v="travel"/>
    <x v="2"/>
    <n v="5.0000000000000001E-3"/>
    <n v="24.995000000000001"/>
    <x v="11"/>
  </r>
  <r>
    <s v="TXN100442"/>
    <n v="190"/>
    <x v="18"/>
    <d v="2026-01-03T14:54:00"/>
    <n v="799"/>
    <s v="Wallet"/>
    <x v="0"/>
    <n v="68"/>
    <s v="Merchant_006"/>
    <s v="food_delivery"/>
    <x v="2"/>
    <n v="7.4999999999999997E-3"/>
    <n v="5.9924999999999997"/>
    <x v="29"/>
  </r>
  <r>
    <s v="TXN100443"/>
    <n v="138"/>
    <x v="14"/>
    <d v="2026-01-24T06:03:00"/>
    <n v="299"/>
    <s v="Wallet"/>
    <x v="0"/>
    <n v="86"/>
    <s v="Merchant_025"/>
    <s v="travel"/>
    <x v="2"/>
    <n v="7.4999999999999997E-3"/>
    <n v="2.2424999999999997"/>
    <x v="2"/>
  </r>
  <r>
    <s v="TXN100444"/>
    <n v="38"/>
    <x v="6"/>
    <d v="2026-01-20T19:02:00"/>
    <n v="4999"/>
    <s v="Netbanking"/>
    <x v="0"/>
    <n v="97"/>
    <s v="Merchant_013"/>
    <s v="travel"/>
    <x v="3"/>
    <n v="0.01"/>
    <n v="49.99"/>
    <x v="26"/>
  </r>
  <r>
    <s v="TXN100445"/>
    <n v="287"/>
    <x v="16"/>
    <d v="2026-01-19T23:42:00"/>
    <n v="99"/>
    <s v="Wallet"/>
    <x v="0"/>
    <n v="61"/>
    <s v="Merchant_014"/>
    <s v="grocery"/>
    <x v="3"/>
    <n v="7.4999999999999997E-3"/>
    <n v="0.74249999999999994"/>
    <x v="23"/>
  </r>
  <r>
    <s v="TXN100446"/>
    <n v="8"/>
    <x v="16"/>
    <d v="2026-01-07T10:19:00"/>
    <n v="49"/>
    <s v="UPI"/>
    <x v="0"/>
    <n v="24"/>
    <s v="Merchant_014"/>
    <s v="grocery"/>
    <x v="3"/>
    <n v="5.0000000000000001E-3"/>
    <n v="0.245"/>
    <x v="25"/>
  </r>
  <r>
    <s v="TXN100447"/>
    <n v="246"/>
    <x v="0"/>
    <d v="2026-01-24T03:47:00"/>
    <n v="1499"/>
    <s v="Wallet"/>
    <x v="0"/>
    <n v="89"/>
    <s v="Merchant_016"/>
    <s v="bill_payment"/>
    <x v="0"/>
    <n v="7.4999999999999997E-3"/>
    <n v="11.2425"/>
    <x v="2"/>
  </r>
  <r>
    <s v="TXN100448"/>
    <n v="204"/>
    <x v="0"/>
    <d v="2026-01-20T22:13:00"/>
    <n v="149"/>
    <s v="UPI"/>
    <x v="0"/>
    <n v="70"/>
    <s v="Merchant_016"/>
    <s v="bill_payment"/>
    <x v="0"/>
    <n v="5.0000000000000001E-3"/>
    <n v="0.745"/>
    <x v="26"/>
  </r>
  <r>
    <s v="TXN100449"/>
    <n v="239"/>
    <x v="8"/>
    <d v="2026-01-11T09:24:00"/>
    <n v="4999"/>
    <s v="UPI"/>
    <x v="0"/>
    <n v="83"/>
    <s v="Merchant_035"/>
    <s v="recharge"/>
    <x v="3"/>
    <n v="5.0000000000000001E-3"/>
    <n v="24.995000000000001"/>
    <x v="7"/>
  </r>
  <r>
    <s v="TXN100450"/>
    <n v="185"/>
    <x v="11"/>
    <d v="2026-01-12T09:16:00"/>
    <n v="299"/>
    <s v="UPI"/>
    <x v="0"/>
    <n v="63"/>
    <s v="Merchant_033"/>
    <s v="bill_payment"/>
    <x v="3"/>
    <n v="5.0000000000000001E-3"/>
    <n v="1.4950000000000001"/>
    <x v="28"/>
  </r>
  <r>
    <s v="TXN100451"/>
    <n v="241"/>
    <x v="17"/>
    <d v="2026-01-15T03:51:00"/>
    <n v="299"/>
    <s v="Card"/>
    <x v="0"/>
    <n v="26"/>
    <s v="Merchant_021"/>
    <s v="food_delivery"/>
    <x v="3"/>
    <n v="1.2E-2"/>
    <n v="3.5880000000000001"/>
    <x v="17"/>
  </r>
  <r>
    <s v="TXN100452"/>
    <n v="24"/>
    <x v="21"/>
    <d v="2026-01-12T10:26:00"/>
    <n v="149"/>
    <s v="UPI"/>
    <x v="0"/>
    <n v="28"/>
    <s v="Merchant_037"/>
    <s v="entertainment"/>
    <x v="2"/>
    <n v="5.0000000000000001E-3"/>
    <n v="0.745"/>
    <x v="28"/>
  </r>
  <r>
    <s v="TXN100453"/>
    <n v="134"/>
    <x v="25"/>
    <d v="2026-01-24T04:01:00"/>
    <n v="1499"/>
    <s v="UPI"/>
    <x v="0"/>
    <n v="74"/>
    <s v="Merchant_036"/>
    <s v="entertainment"/>
    <x v="3"/>
    <n v="5.0000000000000001E-3"/>
    <n v="7.4950000000000001"/>
    <x v="2"/>
  </r>
  <r>
    <s v="TXN100454"/>
    <n v="152"/>
    <x v="34"/>
    <d v="2026-01-19T23:26:00"/>
    <n v="499"/>
    <s v="Wallet"/>
    <x v="0"/>
    <n v="25"/>
    <s v="Merchant_010"/>
    <s v="grocery"/>
    <x v="0"/>
    <n v="7.4999999999999997E-3"/>
    <n v="3.7424999999999997"/>
    <x v="23"/>
  </r>
  <r>
    <s v="TXN100455"/>
    <n v="292"/>
    <x v="0"/>
    <d v="2026-01-11T07:24:00"/>
    <n v="499"/>
    <s v="Netbanking"/>
    <x v="0"/>
    <n v="63"/>
    <s v="Merchant_016"/>
    <s v="bill_payment"/>
    <x v="0"/>
    <n v="0.01"/>
    <n v="4.99"/>
    <x v="7"/>
  </r>
  <r>
    <s v="TXN100456"/>
    <n v="173"/>
    <x v="28"/>
    <d v="2026-01-18T20:43:00"/>
    <n v="99"/>
    <s v="Netbanking"/>
    <x v="0"/>
    <n v="97"/>
    <s v="Merchant_017"/>
    <s v="grocery"/>
    <x v="1"/>
    <n v="0.01"/>
    <n v="0.99"/>
    <x v="15"/>
  </r>
  <r>
    <s v="TXN100457"/>
    <n v="329"/>
    <x v="33"/>
    <d v="2026-01-27T15:46:00"/>
    <n v="1499"/>
    <s v="UPI"/>
    <x v="0"/>
    <n v="58"/>
    <s v="Merchant_032"/>
    <s v="food_delivery"/>
    <x v="0"/>
    <n v="5.0000000000000001E-3"/>
    <n v="7.4950000000000001"/>
    <x v="6"/>
  </r>
  <r>
    <s v="TXN100458"/>
    <n v="181"/>
    <x v="2"/>
    <d v="2026-01-06T23:50:00"/>
    <n v="1499"/>
    <s v="UPI"/>
    <x v="0"/>
    <n v="17"/>
    <s v="Merchant_011"/>
    <s v="ecommerce"/>
    <x v="1"/>
    <n v="5.0000000000000001E-3"/>
    <n v="7.4950000000000001"/>
    <x v="4"/>
  </r>
  <r>
    <s v="TXN100459"/>
    <n v="95"/>
    <x v="8"/>
    <d v="2026-01-24T17:31:00"/>
    <n v="149"/>
    <s v="Wallet"/>
    <x v="0"/>
    <n v="82"/>
    <s v="Merchant_035"/>
    <s v="recharge"/>
    <x v="3"/>
    <n v="7.4999999999999997E-3"/>
    <n v="1.1174999999999999"/>
    <x v="2"/>
  </r>
  <r>
    <s v="TXN100460"/>
    <n v="39"/>
    <x v="29"/>
    <d v="2026-01-02T16:02:00"/>
    <n v="149"/>
    <s v="Netbanking"/>
    <x v="0"/>
    <n v="97"/>
    <s v="Merchant_004"/>
    <s v="ecommerce"/>
    <x v="3"/>
    <n v="0.01"/>
    <n v="1.49"/>
    <x v="22"/>
  </r>
  <r>
    <s v="TXN100461"/>
    <n v="323"/>
    <x v="19"/>
    <d v="2026-01-01T13:08:00"/>
    <n v="499"/>
    <s v="UPI"/>
    <x v="0"/>
    <n v="8"/>
    <s v="Merchant_015"/>
    <s v="travel"/>
    <x v="1"/>
    <n v="5.0000000000000001E-3"/>
    <n v="2.4950000000000001"/>
    <x v="9"/>
  </r>
  <r>
    <s v="TXN100462"/>
    <n v="112"/>
    <x v="11"/>
    <d v="2026-01-23T04:00:00"/>
    <n v="49"/>
    <s v="Netbanking"/>
    <x v="0"/>
    <n v="58"/>
    <s v="Merchant_033"/>
    <s v="bill_payment"/>
    <x v="3"/>
    <n v="0.01"/>
    <n v="0.49"/>
    <x v="20"/>
  </r>
  <r>
    <s v="TXN100463"/>
    <n v="327"/>
    <x v="12"/>
    <d v="2026-01-12T01:39:00"/>
    <n v="99"/>
    <s v="UPI"/>
    <x v="0"/>
    <n v="61"/>
    <s v="Merchant_040"/>
    <s v="entertainment"/>
    <x v="2"/>
    <n v="5.0000000000000001E-3"/>
    <n v="0.495"/>
    <x v="28"/>
  </r>
  <r>
    <s v="TXN100464"/>
    <n v="4"/>
    <x v="8"/>
    <d v="2026-01-22T15:01:00"/>
    <n v="299"/>
    <s v="UPI"/>
    <x v="0"/>
    <n v="70"/>
    <s v="Merchant_035"/>
    <s v="recharge"/>
    <x v="3"/>
    <n v="5.0000000000000001E-3"/>
    <n v="1.4950000000000001"/>
    <x v="13"/>
  </r>
  <r>
    <s v="TXN100465"/>
    <n v="272"/>
    <x v="7"/>
    <d v="2026-01-14T00:01:00"/>
    <n v="149"/>
    <s v="UPI"/>
    <x v="0"/>
    <n v="68"/>
    <s v="Merchant_018"/>
    <s v="grocery"/>
    <x v="0"/>
    <n v="5.0000000000000001E-3"/>
    <n v="0.745"/>
    <x v="12"/>
  </r>
  <r>
    <s v="TXN100466"/>
    <n v="346"/>
    <x v="10"/>
    <d v="2026-01-10T00:32:00"/>
    <n v="499"/>
    <s v="UPI"/>
    <x v="0"/>
    <n v="22"/>
    <s v="Merchant_028"/>
    <s v="ecommerce"/>
    <x v="2"/>
    <n v="5.0000000000000001E-3"/>
    <n v="2.4950000000000001"/>
    <x v="27"/>
  </r>
  <r>
    <s v="TXN100467"/>
    <n v="77"/>
    <x v="0"/>
    <d v="2026-01-04T03:33:00"/>
    <n v="49"/>
    <s v="Wallet"/>
    <x v="0"/>
    <n v="24"/>
    <s v="Merchant_016"/>
    <s v="bill_payment"/>
    <x v="0"/>
    <n v="7.4999999999999997E-3"/>
    <n v="0.36749999999999999"/>
    <x v="1"/>
  </r>
  <r>
    <s v="TXN100468"/>
    <n v="182"/>
    <x v="7"/>
    <d v="2026-01-20T16:16:00"/>
    <n v="149"/>
    <s v="Card"/>
    <x v="0"/>
    <n v="50"/>
    <s v="Merchant_018"/>
    <s v="grocery"/>
    <x v="0"/>
    <n v="1.2E-2"/>
    <n v="1.788"/>
    <x v="26"/>
  </r>
  <r>
    <s v="TXN100469"/>
    <n v="236"/>
    <x v="21"/>
    <d v="2026-01-03T11:25:00"/>
    <n v="299"/>
    <s v="Card"/>
    <x v="0"/>
    <n v="31"/>
    <s v="Merchant_037"/>
    <s v="entertainment"/>
    <x v="2"/>
    <n v="1.2E-2"/>
    <n v="3.5880000000000001"/>
    <x v="29"/>
  </r>
  <r>
    <s v="TXN100470"/>
    <n v="42"/>
    <x v="4"/>
    <d v="2026-01-23T07:19:00"/>
    <n v="49"/>
    <s v="UPI"/>
    <x v="0"/>
    <n v="11"/>
    <s v="Merchant_003"/>
    <s v="grocery"/>
    <x v="3"/>
    <n v="5.0000000000000001E-3"/>
    <n v="0.245"/>
    <x v="20"/>
  </r>
  <r>
    <s v="TXN100471"/>
    <n v="283"/>
    <x v="20"/>
    <d v="2026-01-13T12:24:00"/>
    <n v="299"/>
    <s v="Netbanking"/>
    <x v="0"/>
    <n v="7"/>
    <s v="Merchant_031"/>
    <s v="bill_payment"/>
    <x v="3"/>
    <n v="0.01"/>
    <n v="2.99"/>
    <x v="11"/>
  </r>
  <r>
    <s v="TXN100472"/>
    <n v="88"/>
    <x v="18"/>
    <d v="2026-01-21T00:44:00"/>
    <n v="49"/>
    <s v="UPI"/>
    <x v="0"/>
    <n v="63"/>
    <s v="Merchant_006"/>
    <s v="food_delivery"/>
    <x v="2"/>
    <n v="5.0000000000000001E-3"/>
    <n v="0.245"/>
    <x v="8"/>
  </r>
  <r>
    <s v="TXN100473"/>
    <n v="170"/>
    <x v="21"/>
    <d v="2026-01-28T13:41:00"/>
    <n v="99"/>
    <s v="UPI"/>
    <x v="1"/>
    <n v="12"/>
    <s v="Merchant_037"/>
    <s v="entertainment"/>
    <x v="2"/>
    <n v="5.0000000000000001E-3"/>
    <n v="0.495"/>
    <x v="19"/>
  </r>
  <r>
    <s v="TXN100474"/>
    <n v="22"/>
    <x v="19"/>
    <d v="2026-01-29T16:58:00"/>
    <n v="49"/>
    <s v="Netbanking"/>
    <x v="0"/>
    <n v="27"/>
    <s v="Merchant_015"/>
    <s v="travel"/>
    <x v="1"/>
    <n v="0.01"/>
    <n v="0.49"/>
    <x v="0"/>
  </r>
  <r>
    <s v="TXN100475"/>
    <n v="291"/>
    <x v="20"/>
    <d v="2026-01-29T22:56:00"/>
    <n v="49"/>
    <s v="Netbanking"/>
    <x v="1"/>
    <n v="34"/>
    <s v="Merchant_031"/>
    <s v="bill_payment"/>
    <x v="3"/>
    <n v="0.01"/>
    <n v="0.49"/>
    <x v="0"/>
  </r>
  <r>
    <s v="TXN100476"/>
    <n v="144"/>
    <x v="8"/>
    <d v="2026-01-02T02:43:00"/>
    <n v="1499"/>
    <s v="UPI"/>
    <x v="0"/>
    <n v="72"/>
    <s v="Merchant_035"/>
    <s v="recharge"/>
    <x v="3"/>
    <n v="5.0000000000000001E-3"/>
    <n v="7.4950000000000001"/>
    <x v="22"/>
  </r>
  <r>
    <s v="TXN100477"/>
    <n v="162"/>
    <x v="27"/>
    <d v="2026-01-22T01:11:00"/>
    <n v="299"/>
    <s v="Wallet"/>
    <x v="0"/>
    <n v="26"/>
    <s v="Merchant_002"/>
    <s v="grocery"/>
    <x v="0"/>
    <n v="7.4999999999999997E-3"/>
    <n v="2.2424999999999997"/>
    <x v="13"/>
  </r>
  <r>
    <s v="TXN100478"/>
    <n v="204"/>
    <x v="32"/>
    <d v="2026-01-19T04:48:00"/>
    <n v="49"/>
    <s v="UPI"/>
    <x v="0"/>
    <n v="38"/>
    <s v="Merchant_005"/>
    <s v="recharge"/>
    <x v="2"/>
    <n v="5.0000000000000001E-3"/>
    <n v="0.245"/>
    <x v="23"/>
  </r>
  <r>
    <s v="TXN100479"/>
    <n v="291"/>
    <x v="14"/>
    <d v="2026-01-06T18:15:00"/>
    <n v="99"/>
    <s v="Wallet"/>
    <x v="0"/>
    <n v="86"/>
    <s v="Merchant_025"/>
    <s v="travel"/>
    <x v="2"/>
    <n v="7.4999999999999997E-3"/>
    <n v="0.74249999999999994"/>
    <x v="4"/>
  </r>
  <r>
    <s v="TXN100480"/>
    <n v="197"/>
    <x v="39"/>
    <d v="2026-01-29T17:21:00"/>
    <n v="49"/>
    <s v="Wallet"/>
    <x v="1"/>
    <n v="88"/>
    <s v="Merchant_009"/>
    <s v="ecommerce"/>
    <x v="1"/>
    <n v="7.4999999999999997E-3"/>
    <n v="0.36749999999999999"/>
    <x v="0"/>
  </r>
  <r>
    <s v="TXN100481"/>
    <n v="178"/>
    <x v="29"/>
    <d v="2026-01-24T02:32:00"/>
    <n v="1499"/>
    <s v="UPI"/>
    <x v="0"/>
    <n v="12"/>
    <s v="Merchant_004"/>
    <s v="ecommerce"/>
    <x v="3"/>
    <n v="5.0000000000000001E-3"/>
    <n v="7.4950000000000001"/>
    <x v="2"/>
  </r>
  <r>
    <s v="TXN100482"/>
    <n v="39"/>
    <x v="3"/>
    <d v="2026-01-14T07:53:00"/>
    <n v="799"/>
    <s v="Netbanking"/>
    <x v="0"/>
    <n v="77"/>
    <s v="Merchant_022"/>
    <s v="travel"/>
    <x v="2"/>
    <n v="0.01"/>
    <n v="7.99"/>
    <x v="12"/>
  </r>
  <r>
    <s v="TXN100483"/>
    <n v="204"/>
    <x v="17"/>
    <d v="2026-01-25T19:38:00"/>
    <n v="299"/>
    <s v="Wallet"/>
    <x v="0"/>
    <n v="3"/>
    <s v="Merchant_021"/>
    <s v="food_delivery"/>
    <x v="3"/>
    <n v="7.4999999999999997E-3"/>
    <n v="2.2424999999999997"/>
    <x v="21"/>
  </r>
  <r>
    <s v="TXN100484"/>
    <n v="231"/>
    <x v="33"/>
    <d v="2026-01-21T08:50:00"/>
    <n v="299"/>
    <s v="UPI"/>
    <x v="0"/>
    <n v="29"/>
    <s v="Merchant_032"/>
    <s v="food_delivery"/>
    <x v="0"/>
    <n v="5.0000000000000001E-3"/>
    <n v="1.4950000000000001"/>
    <x v="8"/>
  </r>
  <r>
    <s v="TXN100485"/>
    <n v="222"/>
    <x v="9"/>
    <d v="2026-01-12T17:24:00"/>
    <n v="499"/>
    <s v="Wallet"/>
    <x v="1"/>
    <n v="87"/>
    <s v="Merchant_012"/>
    <s v="ecommerce"/>
    <x v="3"/>
    <n v="7.4999999999999997E-3"/>
    <n v="3.7424999999999997"/>
    <x v="28"/>
  </r>
  <r>
    <s v="TXN100486"/>
    <n v="44"/>
    <x v="12"/>
    <d v="2026-01-19T21:24:00"/>
    <n v="499"/>
    <s v="UPI"/>
    <x v="0"/>
    <n v="37"/>
    <s v="Merchant_040"/>
    <s v="entertainment"/>
    <x v="2"/>
    <n v="5.0000000000000001E-3"/>
    <n v="2.4950000000000001"/>
    <x v="23"/>
  </r>
  <r>
    <s v="TXN100487"/>
    <n v="38"/>
    <x v="18"/>
    <d v="2026-01-26T07:45:00"/>
    <n v="49"/>
    <s v="Wallet"/>
    <x v="0"/>
    <n v="34"/>
    <s v="Merchant_006"/>
    <s v="food_delivery"/>
    <x v="2"/>
    <n v="7.4999999999999997E-3"/>
    <n v="0.36749999999999999"/>
    <x v="16"/>
  </r>
  <r>
    <s v="TXN100488"/>
    <n v="325"/>
    <x v="34"/>
    <d v="2026-01-05T12:45:00"/>
    <n v="49"/>
    <s v="Netbanking"/>
    <x v="2"/>
    <n v="94"/>
    <s v="Merchant_010"/>
    <s v="grocery"/>
    <x v="0"/>
    <n v="0.01"/>
    <n v="0.49"/>
    <x v="14"/>
  </r>
  <r>
    <s v="TXN100489"/>
    <n v="55"/>
    <x v="18"/>
    <d v="2026-01-13T10:23:00"/>
    <n v="1499"/>
    <s v="Card"/>
    <x v="0"/>
    <n v="0"/>
    <s v="Merchant_006"/>
    <s v="food_delivery"/>
    <x v="2"/>
    <n v="1.2E-2"/>
    <n v="17.988"/>
    <x v="11"/>
  </r>
  <r>
    <s v="TXN100490"/>
    <n v="139"/>
    <x v="23"/>
    <d v="2026-01-10T14:23:00"/>
    <n v="499"/>
    <s v="Card"/>
    <x v="0"/>
    <n v="16"/>
    <s v="Merchant_007"/>
    <s v="food_delivery"/>
    <x v="3"/>
    <n v="1.2E-2"/>
    <n v="5.9880000000000004"/>
    <x v="27"/>
  </r>
  <r>
    <s v="TXN100491"/>
    <n v="230"/>
    <x v="25"/>
    <d v="2026-01-03T05:27:00"/>
    <n v="99"/>
    <s v="Wallet"/>
    <x v="0"/>
    <n v="71"/>
    <s v="Merchant_036"/>
    <s v="entertainment"/>
    <x v="3"/>
    <n v="7.4999999999999997E-3"/>
    <n v="0.74249999999999994"/>
    <x v="29"/>
  </r>
  <r>
    <s v="TXN100492"/>
    <n v="14"/>
    <x v="18"/>
    <d v="2026-01-17T13:06:00"/>
    <n v="799"/>
    <s v="Card"/>
    <x v="0"/>
    <n v="45"/>
    <s v="Merchant_006"/>
    <s v="food_delivery"/>
    <x v="2"/>
    <n v="1.2E-2"/>
    <n v="9.588000000000001"/>
    <x v="18"/>
  </r>
  <r>
    <s v="TXN100493"/>
    <n v="307"/>
    <x v="17"/>
    <d v="2026-01-18T02:38:00"/>
    <n v="799"/>
    <s v="UPI"/>
    <x v="0"/>
    <n v="49"/>
    <s v="Merchant_021"/>
    <s v="food_delivery"/>
    <x v="3"/>
    <n v="5.0000000000000001E-3"/>
    <n v="3.9950000000000001"/>
    <x v="15"/>
  </r>
  <r>
    <s v="TXN100494"/>
    <n v="199"/>
    <x v="18"/>
    <d v="2026-01-01T09:26:00"/>
    <n v="49"/>
    <s v="UPI"/>
    <x v="0"/>
    <n v="92"/>
    <s v="Merchant_006"/>
    <s v="food_delivery"/>
    <x v="2"/>
    <n v="5.0000000000000001E-3"/>
    <n v="0.245"/>
    <x v="9"/>
  </r>
  <r>
    <s v="TXN100495"/>
    <n v="125"/>
    <x v="21"/>
    <d v="2026-01-29T17:57:00"/>
    <n v="149"/>
    <s v="Wallet"/>
    <x v="0"/>
    <n v="66"/>
    <s v="Merchant_037"/>
    <s v="entertainment"/>
    <x v="2"/>
    <n v="7.4999999999999997E-3"/>
    <n v="1.1174999999999999"/>
    <x v="0"/>
  </r>
  <r>
    <s v="TXN100496"/>
    <n v="87"/>
    <x v="39"/>
    <d v="2026-01-06T21:24:00"/>
    <n v="149"/>
    <s v="UPI"/>
    <x v="0"/>
    <n v="34"/>
    <s v="Merchant_009"/>
    <s v="ecommerce"/>
    <x v="1"/>
    <n v="5.0000000000000001E-3"/>
    <n v="0.745"/>
    <x v="4"/>
  </r>
  <r>
    <s v="TXN100497"/>
    <n v="75"/>
    <x v="32"/>
    <d v="2026-01-10T08:31:00"/>
    <n v="99"/>
    <s v="UPI"/>
    <x v="0"/>
    <n v="21"/>
    <s v="Merchant_005"/>
    <s v="recharge"/>
    <x v="2"/>
    <n v="5.0000000000000001E-3"/>
    <n v="0.495"/>
    <x v="27"/>
  </r>
  <r>
    <s v="TXN100498"/>
    <n v="154"/>
    <x v="20"/>
    <d v="2026-01-14T08:26:00"/>
    <n v="499"/>
    <s v="Wallet"/>
    <x v="0"/>
    <n v="100"/>
    <s v="Merchant_031"/>
    <s v="bill_payment"/>
    <x v="3"/>
    <n v="7.4999999999999997E-3"/>
    <n v="3.7424999999999997"/>
    <x v="12"/>
  </r>
  <r>
    <s v="TXN100499"/>
    <n v="127"/>
    <x v="33"/>
    <d v="2026-01-03T11:16:00"/>
    <n v="149"/>
    <s v="Card"/>
    <x v="0"/>
    <n v="76"/>
    <s v="Merchant_032"/>
    <s v="food_delivery"/>
    <x v="0"/>
    <n v="1.2E-2"/>
    <n v="1.788"/>
    <x v="29"/>
  </r>
  <r>
    <s v="TXN200000"/>
    <n v="351"/>
    <x v="23"/>
    <d v="2026-01-30T06:00:00"/>
    <n v="1999"/>
    <s v="Card"/>
    <x v="2"/>
    <n v="79"/>
    <s v="Merchant_007"/>
    <s v="food_delivery"/>
    <x v="3"/>
    <n v="1.2E-2"/>
    <n v="23.988"/>
    <x v="3"/>
  </r>
  <r>
    <s v="TXN200001"/>
    <n v="352"/>
    <x v="12"/>
    <d v="2026-01-11T12:00:00"/>
    <n v="4999"/>
    <s v="Card"/>
    <x v="2"/>
    <n v="95"/>
    <s v="Merchant_040"/>
    <s v="entertainment"/>
    <x v="2"/>
    <n v="1.2E-2"/>
    <n v="59.988"/>
    <x v="7"/>
  </r>
  <r>
    <s v="TXN200002"/>
    <n v="353"/>
    <x v="10"/>
    <d v="2026-01-21T14:00:00"/>
    <n v="1999"/>
    <s v="Card"/>
    <x v="2"/>
    <n v="79"/>
    <s v="Merchant_028"/>
    <s v="ecommerce"/>
    <x v="2"/>
    <n v="1.2E-2"/>
    <n v="23.988"/>
    <x v="8"/>
  </r>
  <r>
    <s v="TXN200003"/>
    <n v="354"/>
    <x v="6"/>
    <d v="2026-01-21T19:00:00"/>
    <n v="4999"/>
    <s v="Card"/>
    <x v="2"/>
    <n v="80"/>
    <s v="Merchant_013"/>
    <s v="travel"/>
    <x v="3"/>
    <n v="1.2E-2"/>
    <n v="59.988"/>
    <x v="8"/>
  </r>
  <r>
    <s v="TXN200004"/>
    <n v="355"/>
    <x v="13"/>
    <d v="2026-01-16T12:00:00"/>
    <n v="4999"/>
    <s v="Card"/>
    <x v="2"/>
    <n v="100"/>
    <s v="Merchant_019"/>
    <s v="grocery"/>
    <x v="1"/>
    <n v="1.2E-2"/>
    <n v="59.988"/>
    <x v="24"/>
  </r>
  <r>
    <s v="TXN200005"/>
    <n v="356"/>
    <x v="14"/>
    <d v="2026-01-29T07:00:00"/>
    <n v="2999"/>
    <s v="Card"/>
    <x v="2"/>
    <n v="96"/>
    <s v="Merchant_025"/>
    <s v="travel"/>
    <x v="2"/>
    <n v="1.2E-2"/>
    <n v="35.988"/>
    <x v="0"/>
  </r>
  <r>
    <s v="TXN200006"/>
    <n v="357"/>
    <x v="21"/>
    <d v="2026-01-23T11:00:00"/>
    <n v="1999"/>
    <s v="Card"/>
    <x v="2"/>
    <n v="88"/>
    <s v="Merchant_037"/>
    <s v="entertainment"/>
    <x v="2"/>
    <n v="1.2E-2"/>
    <n v="23.988"/>
    <x v="20"/>
  </r>
  <r>
    <s v="TXN200007"/>
    <n v="358"/>
    <x v="25"/>
    <d v="2026-01-28T05:00:00"/>
    <n v="999"/>
    <s v="Card"/>
    <x v="2"/>
    <n v="100"/>
    <s v="Merchant_036"/>
    <s v="entertainment"/>
    <x v="3"/>
    <n v="1.2E-2"/>
    <n v="11.988"/>
    <x v="19"/>
  </r>
  <r>
    <s v="TXN200008"/>
    <n v="359"/>
    <x v="26"/>
    <d v="2026-01-25T22:00:00"/>
    <n v="2999"/>
    <s v="Card"/>
    <x v="2"/>
    <n v="96"/>
    <s v="Merchant_029"/>
    <s v="ecommerce"/>
    <x v="1"/>
    <n v="1.2E-2"/>
    <n v="35.988"/>
    <x v="21"/>
  </r>
  <r>
    <s v="TXN200009"/>
    <n v="360"/>
    <x v="33"/>
    <d v="2026-01-13T13:00:00"/>
    <n v="1999"/>
    <s v="Card"/>
    <x v="2"/>
    <n v="90"/>
    <s v="Merchant_032"/>
    <s v="food_delivery"/>
    <x v="0"/>
    <n v="1.2E-2"/>
    <n v="23.988"/>
    <x v="11"/>
  </r>
  <r>
    <s v="TXN200010"/>
    <n v="361"/>
    <x v="34"/>
    <d v="2026-01-20T07:00:00"/>
    <n v="4999"/>
    <s v="Card"/>
    <x v="2"/>
    <n v="95"/>
    <s v="Merchant_010"/>
    <s v="grocery"/>
    <x v="0"/>
    <n v="1.2E-2"/>
    <n v="59.988"/>
    <x v="26"/>
  </r>
  <r>
    <s v="TXN200011"/>
    <n v="362"/>
    <x v="38"/>
    <d v="2026-01-23T02:00:00"/>
    <n v="4999"/>
    <s v="Card"/>
    <x v="2"/>
    <n v="88"/>
    <s v="Merchant_039"/>
    <s v="entertainment"/>
    <x v="1"/>
    <n v="1.2E-2"/>
    <n v="59.988"/>
    <x v="20"/>
  </r>
  <r>
    <s v="TXN200012"/>
    <n v="363"/>
    <x v="1"/>
    <d v="2026-01-23T17:00:00"/>
    <n v="999"/>
    <s v="Card"/>
    <x v="2"/>
    <n v="95"/>
    <s v="Merchant_027"/>
    <s v="ecommerce"/>
    <x v="1"/>
    <n v="1.2E-2"/>
    <n v="11.988"/>
    <x v="20"/>
  </r>
  <r>
    <s v="TXN200013"/>
    <n v="364"/>
    <x v="38"/>
    <d v="2026-01-22T22:00:00"/>
    <n v="999"/>
    <s v="Card"/>
    <x v="2"/>
    <n v="73"/>
    <s v="Merchant_039"/>
    <s v="entertainment"/>
    <x v="1"/>
    <n v="1.2E-2"/>
    <n v="11.988"/>
    <x v="13"/>
  </r>
  <r>
    <s v="TXN200014"/>
    <n v="365"/>
    <x v="5"/>
    <d v="2026-01-18T21:00:00"/>
    <n v="1999"/>
    <s v="Card"/>
    <x v="2"/>
    <n v="90"/>
    <s v="Merchant_023"/>
    <s v="travel"/>
    <x v="1"/>
    <n v="1.2E-2"/>
    <n v="23.988"/>
    <x v="15"/>
  </r>
  <r>
    <s v="TXN300000"/>
    <n v="314"/>
    <x v="22"/>
    <d v="2026-01-02T18:00:00"/>
    <n v="399"/>
    <s v="Card"/>
    <x v="1"/>
    <n v="87"/>
    <s v="Merchant_026"/>
    <s v="food_delivery"/>
    <x v="3"/>
    <n v="1.2E-2"/>
    <n v="4.7880000000000003"/>
    <x v="22"/>
  </r>
  <r>
    <s v="TXN300001"/>
    <n v="314"/>
    <x v="23"/>
    <d v="2026-01-02T18:01:00"/>
    <n v="299"/>
    <s v="Card"/>
    <x v="1"/>
    <n v="66"/>
    <s v="Merchant_007"/>
    <s v="food_delivery"/>
    <x v="3"/>
    <n v="1.2E-2"/>
    <n v="3.5880000000000001"/>
    <x v="22"/>
  </r>
  <r>
    <s v="TXN300002"/>
    <n v="314"/>
    <x v="28"/>
    <d v="2026-01-02T18:02:00"/>
    <n v="299"/>
    <s v="Card"/>
    <x v="1"/>
    <n v="92"/>
    <s v="Merchant_017"/>
    <s v="grocery"/>
    <x v="1"/>
    <n v="1.2E-2"/>
    <n v="3.5880000000000001"/>
    <x v="22"/>
  </r>
  <r>
    <s v="TXN300003"/>
    <n v="314"/>
    <x v="36"/>
    <d v="2026-01-02T18:03:00"/>
    <n v="499"/>
    <s v="Card"/>
    <x v="0"/>
    <n v="74"/>
    <s v="Merchant_034"/>
    <s v="travel"/>
    <x v="2"/>
    <n v="1.2E-2"/>
    <n v="5.9880000000000004"/>
    <x v="22"/>
  </r>
  <r>
    <s v="TXN300004"/>
    <n v="229"/>
    <x v="24"/>
    <d v="2026-01-12T12:00:00"/>
    <n v="499"/>
    <s v="Card"/>
    <x v="1"/>
    <n v="92"/>
    <s v="Merchant_030"/>
    <s v="travel"/>
    <x v="0"/>
    <n v="1.2E-2"/>
    <n v="5.9880000000000004"/>
    <x v="28"/>
  </r>
  <r>
    <s v="TXN300005"/>
    <n v="229"/>
    <x v="34"/>
    <d v="2026-01-12T12:01:00"/>
    <n v="399"/>
    <s v="Card"/>
    <x v="1"/>
    <n v="61"/>
    <s v="Merchant_010"/>
    <s v="grocery"/>
    <x v="0"/>
    <n v="1.2E-2"/>
    <n v="4.7880000000000003"/>
    <x v="28"/>
  </r>
  <r>
    <s v="TXN300006"/>
    <n v="229"/>
    <x v="20"/>
    <d v="2026-01-12T12:02:00"/>
    <n v="299"/>
    <s v="Card"/>
    <x v="1"/>
    <n v="78"/>
    <s v="Merchant_031"/>
    <s v="bill_payment"/>
    <x v="3"/>
    <n v="1.2E-2"/>
    <n v="3.5880000000000001"/>
    <x v="28"/>
  </r>
  <r>
    <s v="TXN300007"/>
    <n v="229"/>
    <x v="1"/>
    <d v="2026-01-12T12:03:00"/>
    <n v="299"/>
    <s v="Card"/>
    <x v="0"/>
    <n v="67"/>
    <s v="Merchant_027"/>
    <s v="ecommerce"/>
    <x v="1"/>
    <n v="1.2E-2"/>
    <n v="3.5880000000000001"/>
    <x v="28"/>
  </r>
  <r>
    <s v="TXN300008"/>
    <n v="73"/>
    <x v="3"/>
    <d v="2026-01-12T09:00:00"/>
    <n v="399"/>
    <s v="Card"/>
    <x v="1"/>
    <n v="73"/>
    <s v="Merchant_022"/>
    <s v="travel"/>
    <x v="2"/>
    <n v="1.2E-2"/>
    <n v="4.7880000000000003"/>
    <x v="28"/>
  </r>
  <r>
    <s v="TXN300009"/>
    <n v="73"/>
    <x v="36"/>
    <d v="2026-01-12T09:01:00"/>
    <n v="399"/>
    <s v="Card"/>
    <x v="1"/>
    <n v="82"/>
    <s v="Merchant_034"/>
    <s v="travel"/>
    <x v="2"/>
    <n v="1.2E-2"/>
    <n v="4.7880000000000003"/>
    <x v="28"/>
  </r>
  <r>
    <s v="TXN300010"/>
    <n v="73"/>
    <x v="20"/>
    <d v="2026-01-12T09:02:00"/>
    <n v="299"/>
    <s v="Card"/>
    <x v="1"/>
    <n v="88"/>
    <s v="Merchant_031"/>
    <s v="bill_payment"/>
    <x v="3"/>
    <n v="1.2E-2"/>
    <n v="3.5880000000000001"/>
    <x v="28"/>
  </r>
  <r>
    <s v="TXN300011"/>
    <n v="73"/>
    <x v="26"/>
    <d v="2026-01-12T09:03:00"/>
    <n v="399"/>
    <s v="Card"/>
    <x v="0"/>
    <n v="64"/>
    <s v="Merchant_029"/>
    <s v="ecommerce"/>
    <x v="1"/>
    <n v="1.2E-2"/>
    <n v="4.7880000000000003"/>
    <x v="28"/>
  </r>
  <r>
    <s v="TXN300012"/>
    <n v="154"/>
    <x v="30"/>
    <d v="2026-01-02T22:00:00"/>
    <n v="299"/>
    <s v="Card"/>
    <x v="1"/>
    <n v="81"/>
    <s v="Merchant_008"/>
    <s v="food_delivery"/>
    <x v="1"/>
    <n v="1.2E-2"/>
    <n v="3.5880000000000001"/>
    <x v="22"/>
  </r>
  <r>
    <s v="TXN300013"/>
    <n v="154"/>
    <x v="23"/>
    <d v="2026-01-02T22:01:00"/>
    <n v="499"/>
    <s v="Card"/>
    <x v="1"/>
    <n v="70"/>
    <s v="Merchant_007"/>
    <s v="food_delivery"/>
    <x v="3"/>
    <n v="1.2E-2"/>
    <n v="5.9880000000000004"/>
    <x v="22"/>
  </r>
  <r>
    <s v="TXN300014"/>
    <n v="154"/>
    <x v="0"/>
    <d v="2026-01-02T22:02:00"/>
    <n v="499"/>
    <s v="Card"/>
    <x v="1"/>
    <n v="71"/>
    <s v="Merchant_016"/>
    <s v="bill_payment"/>
    <x v="0"/>
    <n v="1.2E-2"/>
    <n v="5.9880000000000004"/>
    <x v="22"/>
  </r>
  <r>
    <s v="TXN300015"/>
    <n v="154"/>
    <x v="25"/>
    <d v="2026-01-02T22:03:00"/>
    <n v="299"/>
    <s v="Card"/>
    <x v="0"/>
    <n v="81"/>
    <s v="Merchant_036"/>
    <s v="entertainment"/>
    <x v="3"/>
    <n v="1.2E-2"/>
    <n v="3.5880000000000001"/>
    <x v="22"/>
  </r>
  <r>
    <s v="TXN300016"/>
    <n v="287"/>
    <x v="19"/>
    <d v="2026-01-14T14:00:00"/>
    <n v="399"/>
    <s v="Card"/>
    <x v="1"/>
    <n v="71"/>
    <s v="Merchant_015"/>
    <s v="travel"/>
    <x v="1"/>
    <n v="1.2E-2"/>
    <n v="4.7880000000000003"/>
    <x v="12"/>
  </r>
  <r>
    <s v="TXN300017"/>
    <n v="287"/>
    <x v="9"/>
    <d v="2026-01-14T14:01:00"/>
    <n v="499"/>
    <s v="Card"/>
    <x v="1"/>
    <n v="87"/>
    <s v="Merchant_012"/>
    <s v="ecommerce"/>
    <x v="3"/>
    <n v="1.2E-2"/>
    <n v="5.9880000000000004"/>
    <x v="12"/>
  </r>
  <r>
    <s v="TXN300018"/>
    <n v="287"/>
    <x v="22"/>
    <d v="2026-01-14T14:02:00"/>
    <n v="299"/>
    <s v="Card"/>
    <x v="1"/>
    <n v="72"/>
    <s v="Merchant_026"/>
    <s v="food_delivery"/>
    <x v="3"/>
    <n v="1.2E-2"/>
    <n v="3.5880000000000001"/>
    <x v="12"/>
  </r>
  <r>
    <s v="TXN300019"/>
    <n v="287"/>
    <x v="26"/>
    <d v="2026-01-14T14:03:00"/>
    <n v="499"/>
    <s v="Card"/>
    <x v="0"/>
    <n v="87"/>
    <s v="Merchant_029"/>
    <s v="ecommerce"/>
    <x v="1"/>
    <n v="1.2E-2"/>
    <n v="5.9880000000000004"/>
    <x v="12"/>
  </r>
  <r>
    <s v="TXN300020"/>
    <n v="200"/>
    <x v="16"/>
    <d v="2026-01-01T22:00:00"/>
    <n v="299"/>
    <s v="Card"/>
    <x v="1"/>
    <n v="77"/>
    <s v="Merchant_014"/>
    <s v="grocery"/>
    <x v="3"/>
    <n v="1.2E-2"/>
    <n v="3.5880000000000001"/>
    <x v="9"/>
  </r>
  <r>
    <s v="TXN300021"/>
    <n v="200"/>
    <x v="32"/>
    <d v="2026-01-01T22:01:00"/>
    <n v="499"/>
    <s v="Card"/>
    <x v="1"/>
    <n v="66"/>
    <s v="Merchant_005"/>
    <s v="recharge"/>
    <x v="2"/>
    <n v="1.2E-2"/>
    <n v="5.9880000000000004"/>
    <x v="9"/>
  </r>
  <r>
    <s v="TXN300022"/>
    <n v="200"/>
    <x v="8"/>
    <d v="2026-01-01T22:02:00"/>
    <n v="299"/>
    <s v="Card"/>
    <x v="1"/>
    <n v="83"/>
    <s v="Merchant_035"/>
    <s v="recharge"/>
    <x v="3"/>
    <n v="1.2E-2"/>
    <n v="3.5880000000000001"/>
    <x v="9"/>
  </r>
  <r>
    <s v="TXN300023"/>
    <n v="200"/>
    <x v="17"/>
    <d v="2026-01-01T22:03:00"/>
    <n v="299"/>
    <s v="Card"/>
    <x v="0"/>
    <n v="89"/>
    <s v="Merchant_021"/>
    <s v="food_delivery"/>
    <x v="3"/>
    <n v="1.2E-2"/>
    <n v="3.5880000000000001"/>
    <x v="9"/>
  </r>
  <r>
    <s v="TXN300024"/>
    <n v="59"/>
    <x v="33"/>
    <d v="2026-01-09T21:00:00"/>
    <n v="499"/>
    <s v="Card"/>
    <x v="1"/>
    <n v="80"/>
    <s v="Merchant_032"/>
    <s v="food_delivery"/>
    <x v="0"/>
    <n v="1.2E-2"/>
    <n v="5.9880000000000004"/>
    <x v="10"/>
  </r>
  <r>
    <s v="TXN300025"/>
    <n v="59"/>
    <x v="38"/>
    <d v="2026-01-09T21:01:00"/>
    <n v="399"/>
    <s v="Card"/>
    <x v="1"/>
    <n v="85"/>
    <s v="Merchant_039"/>
    <s v="entertainment"/>
    <x v="1"/>
    <n v="1.2E-2"/>
    <n v="4.7880000000000003"/>
    <x v="10"/>
  </r>
  <r>
    <s v="TXN300026"/>
    <n v="59"/>
    <x v="35"/>
    <d v="2026-01-09T21:02:00"/>
    <n v="299"/>
    <s v="Card"/>
    <x v="1"/>
    <n v="82"/>
    <s v="Merchant_038"/>
    <s v="grocery"/>
    <x v="3"/>
    <n v="1.2E-2"/>
    <n v="3.5880000000000001"/>
    <x v="10"/>
  </r>
  <r>
    <s v="TXN300027"/>
    <n v="59"/>
    <x v="5"/>
    <d v="2026-01-09T21:03:00"/>
    <n v="399"/>
    <s v="Card"/>
    <x v="0"/>
    <n v="71"/>
    <s v="Merchant_023"/>
    <s v="travel"/>
    <x v="1"/>
    <n v="1.2E-2"/>
    <n v="4.7880000000000003"/>
    <x v="10"/>
  </r>
  <r>
    <s v="TXN300028"/>
    <n v="345"/>
    <x v="12"/>
    <d v="2026-01-23T09:00:00"/>
    <n v="499"/>
    <s v="Card"/>
    <x v="1"/>
    <n v="65"/>
    <s v="Merchant_040"/>
    <s v="entertainment"/>
    <x v="2"/>
    <n v="1.2E-2"/>
    <n v="5.9880000000000004"/>
    <x v="20"/>
  </r>
  <r>
    <s v="TXN300029"/>
    <n v="345"/>
    <x v="39"/>
    <d v="2026-01-23T09:01:00"/>
    <n v="399"/>
    <s v="Card"/>
    <x v="1"/>
    <n v="67"/>
    <s v="Merchant_009"/>
    <s v="ecommerce"/>
    <x v="1"/>
    <n v="1.2E-2"/>
    <n v="4.7880000000000003"/>
    <x v="20"/>
  </r>
  <r>
    <s v="TXN300030"/>
    <n v="345"/>
    <x v="0"/>
    <d v="2026-01-23T09:02:00"/>
    <n v="399"/>
    <s v="Card"/>
    <x v="1"/>
    <n v="67"/>
    <s v="Merchant_016"/>
    <s v="bill_payment"/>
    <x v="0"/>
    <n v="1.2E-2"/>
    <n v="4.7880000000000003"/>
    <x v="20"/>
  </r>
  <r>
    <s v="TXN300031"/>
    <n v="345"/>
    <x v="9"/>
    <d v="2026-01-23T09:03:00"/>
    <n v="399"/>
    <s v="Card"/>
    <x v="0"/>
    <n v="69"/>
    <s v="Merchant_012"/>
    <s v="ecommerce"/>
    <x v="3"/>
    <n v="1.2E-2"/>
    <n v="4.7880000000000003"/>
    <x v="2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41A81F8-6DC2-4C56-AB99-49DF104D55DF}" name="PivotTable2" cacheId="1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1:D445" firstHeaderRow="0" firstDataRow="1" firstDataCol="2"/>
  <pivotFields count="14">
    <pivotField dataField="1"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40">
        <item x="37"/>
        <item x="27"/>
        <item x="4"/>
        <item x="29"/>
        <item x="32"/>
        <item x="18"/>
        <item x="23"/>
        <item x="30"/>
        <item x="39"/>
        <item x="34"/>
        <item x="2"/>
        <item x="9"/>
        <item x="6"/>
        <item x="16"/>
        <item x="19"/>
        <item x="0"/>
        <item x="28"/>
        <item x="7"/>
        <item x="13"/>
        <item x="15"/>
        <item x="17"/>
        <item x="3"/>
        <item x="5"/>
        <item x="31"/>
        <item x="14"/>
        <item x="22"/>
        <item x="1"/>
        <item x="10"/>
        <item x="26"/>
        <item x="24"/>
        <item x="20"/>
        <item x="33"/>
        <item x="11"/>
        <item x="36"/>
        <item x="8"/>
        <item x="25"/>
        <item x="21"/>
        <item x="35"/>
        <item x="38"/>
        <item x="12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22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items count="4">
        <item x="3"/>
        <item x="1"/>
        <item x="2"/>
        <item x="0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1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2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numFmtId="14" outline="0" showAll="0" defaultSubtotal="0">
      <items count="30">
        <item x="9"/>
        <item x="22"/>
        <item x="29"/>
        <item x="1"/>
        <item x="14"/>
        <item x="4"/>
        <item x="25"/>
        <item x="5"/>
        <item x="10"/>
        <item x="27"/>
        <item x="7"/>
        <item x="28"/>
        <item x="11"/>
        <item x="12"/>
        <item x="17"/>
        <item x="24"/>
        <item x="18"/>
        <item x="15"/>
        <item x="23"/>
        <item x="26"/>
        <item x="8"/>
        <item x="13"/>
        <item x="20"/>
        <item x="2"/>
        <item x="21"/>
        <item x="16"/>
        <item x="6"/>
        <item x="19"/>
        <item x="0"/>
        <item x="3"/>
      </items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2">
    <field x="2"/>
    <field x="13"/>
  </rowFields>
  <rowItems count="444">
    <i>
      <x/>
      <x v="4"/>
    </i>
    <i r="1">
      <x v="5"/>
    </i>
    <i r="1">
      <x v="8"/>
    </i>
    <i r="1">
      <x v="10"/>
    </i>
    <i r="1">
      <x v="11"/>
    </i>
    <i r="1">
      <x v="16"/>
    </i>
    <i r="1">
      <x v="22"/>
    </i>
    <i>
      <x v="1"/>
      <x v="6"/>
    </i>
    <i r="1">
      <x v="7"/>
    </i>
    <i r="1">
      <x v="11"/>
    </i>
    <i r="1">
      <x v="12"/>
    </i>
    <i r="1">
      <x v="14"/>
    </i>
    <i r="1">
      <x v="18"/>
    </i>
    <i r="1">
      <x v="21"/>
    </i>
    <i r="1">
      <x v="25"/>
    </i>
    <i r="1">
      <x v="29"/>
    </i>
    <i>
      <x v="2"/>
      <x v="2"/>
    </i>
    <i r="1">
      <x v="4"/>
    </i>
    <i r="1">
      <x v="5"/>
    </i>
    <i r="1">
      <x v="6"/>
    </i>
    <i r="1">
      <x v="7"/>
    </i>
    <i r="1">
      <x v="12"/>
    </i>
    <i r="1">
      <x v="15"/>
    </i>
    <i r="1">
      <x v="19"/>
    </i>
    <i r="1">
      <x v="21"/>
    </i>
    <i r="1">
      <x v="22"/>
    </i>
    <i r="1">
      <x v="25"/>
    </i>
    <i r="1">
      <x v="28"/>
    </i>
    <i r="1">
      <x v="29"/>
    </i>
    <i>
      <x v="3"/>
      <x v="1"/>
    </i>
    <i r="1">
      <x v="11"/>
    </i>
    <i r="1">
      <x v="12"/>
    </i>
    <i r="1">
      <x v="15"/>
    </i>
    <i r="1">
      <x v="16"/>
    </i>
    <i r="1">
      <x v="23"/>
    </i>
    <i r="1">
      <x v="24"/>
    </i>
    <i>
      <x v="4"/>
      <x/>
    </i>
    <i r="1">
      <x v="2"/>
    </i>
    <i r="1">
      <x v="8"/>
    </i>
    <i r="1">
      <x v="9"/>
    </i>
    <i r="1">
      <x v="14"/>
    </i>
    <i r="1">
      <x v="16"/>
    </i>
    <i r="1">
      <x v="17"/>
    </i>
    <i r="1">
      <x v="18"/>
    </i>
    <i r="1">
      <x v="29"/>
    </i>
    <i>
      <x v="5"/>
      <x/>
    </i>
    <i r="1">
      <x v="2"/>
    </i>
    <i r="1">
      <x v="4"/>
    </i>
    <i r="1">
      <x v="7"/>
    </i>
    <i r="1">
      <x v="8"/>
    </i>
    <i r="1">
      <x v="10"/>
    </i>
    <i r="1">
      <x v="12"/>
    </i>
    <i r="1">
      <x v="14"/>
    </i>
    <i r="1">
      <x v="16"/>
    </i>
    <i r="1">
      <x v="18"/>
    </i>
    <i r="1">
      <x v="20"/>
    </i>
    <i r="1">
      <x v="25"/>
    </i>
    <i>
      <x v="6"/>
      <x v="1"/>
    </i>
    <i r="1">
      <x v="2"/>
    </i>
    <i r="1">
      <x v="4"/>
    </i>
    <i r="1">
      <x v="7"/>
    </i>
    <i r="1">
      <x v="9"/>
    </i>
    <i r="1">
      <x v="14"/>
    </i>
    <i r="1">
      <x v="16"/>
    </i>
    <i r="1">
      <x v="20"/>
    </i>
    <i r="1">
      <x v="23"/>
    </i>
    <i r="1">
      <x v="24"/>
    </i>
    <i r="1">
      <x v="29"/>
    </i>
    <i>
      <x v="7"/>
      <x v="1"/>
    </i>
    <i r="1">
      <x v="2"/>
    </i>
    <i r="1">
      <x v="5"/>
    </i>
    <i r="1">
      <x v="7"/>
    </i>
    <i r="1">
      <x v="10"/>
    </i>
    <i r="1">
      <x v="11"/>
    </i>
    <i r="1">
      <x v="15"/>
    </i>
    <i r="1">
      <x v="16"/>
    </i>
    <i r="1">
      <x v="17"/>
    </i>
    <i r="1">
      <x v="18"/>
    </i>
    <i r="1">
      <x v="25"/>
    </i>
    <i r="1">
      <x v="26"/>
    </i>
    <i r="1">
      <x v="29"/>
    </i>
    <i>
      <x v="8"/>
      <x/>
    </i>
    <i r="1">
      <x v="3"/>
    </i>
    <i r="1">
      <x v="4"/>
    </i>
    <i r="1">
      <x v="5"/>
    </i>
    <i r="1">
      <x v="8"/>
    </i>
    <i r="1">
      <x v="9"/>
    </i>
    <i r="1">
      <x v="11"/>
    </i>
    <i r="1">
      <x v="14"/>
    </i>
    <i r="1">
      <x v="16"/>
    </i>
    <i r="1">
      <x v="17"/>
    </i>
    <i r="1">
      <x v="18"/>
    </i>
    <i r="1">
      <x v="21"/>
    </i>
    <i r="1">
      <x v="22"/>
    </i>
    <i r="1">
      <x v="28"/>
    </i>
    <i>
      <x v="9"/>
      <x v="4"/>
    </i>
    <i r="1">
      <x v="7"/>
    </i>
    <i r="1">
      <x v="10"/>
    </i>
    <i r="1">
      <x v="11"/>
    </i>
    <i r="1">
      <x v="12"/>
    </i>
    <i r="1">
      <x v="13"/>
    </i>
    <i r="1">
      <x v="14"/>
    </i>
    <i r="1">
      <x v="15"/>
    </i>
    <i r="1">
      <x v="18"/>
    </i>
    <i r="1">
      <x v="19"/>
    </i>
    <i r="1">
      <x v="20"/>
    </i>
    <i r="1">
      <x v="28"/>
    </i>
    <i>
      <x v="10"/>
      <x v="3"/>
    </i>
    <i r="1">
      <x v="5"/>
    </i>
    <i r="1">
      <x v="6"/>
    </i>
    <i r="1">
      <x v="10"/>
    </i>
    <i r="1">
      <x v="17"/>
    </i>
    <i r="1">
      <x v="19"/>
    </i>
    <i r="1">
      <x v="20"/>
    </i>
    <i r="1">
      <x v="23"/>
    </i>
    <i r="1">
      <x v="28"/>
    </i>
    <i>
      <x v="11"/>
      <x/>
    </i>
    <i r="1">
      <x v="8"/>
    </i>
    <i r="1">
      <x v="11"/>
    </i>
    <i r="1">
      <x v="13"/>
    </i>
    <i r="1">
      <x v="17"/>
    </i>
    <i r="1">
      <x v="21"/>
    </i>
    <i r="1">
      <x v="22"/>
    </i>
    <i r="1">
      <x v="26"/>
    </i>
    <i r="1">
      <x v="29"/>
    </i>
    <i>
      <x v="12"/>
      <x v="7"/>
    </i>
    <i r="1">
      <x v="8"/>
    </i>
    <i r="1">
      <x v="9"/>
    </i>
    <i r="1">
      <x v="13"/>
    </i>
    <i r="1">
      <x v="14"/>
    </i>
    <i r="1">
      <x v="19"/>
    </i>
    <i r="1">
      <x v="20"/>
    </i>
    <i r="1">
      <x v="23"/>
    </i>
    <i r="1">
      <x v="25"/>
    </i>
    <i r="1">
      <x v="26"/>
    </i>
    <i r="1">
      <x v="27"/>
    </i>
    <i>
      <x v="13"/>
      <x/>
    </i>
    <i r="1">
      <x v="1"/>
    </i>
    <i r="1">
      <x v="2"/>
    </i>
    <i r="1">
      <x v="3"/>
    </i>
    <i r="1">
      <x v="4"/>
    </i>
    <i r="1">
      <x v="6"/>
    </i>
    <i r="1">
      <x v="7"/>
    </i>
    <i r="1">
      <x v="17"/>
    </i>
    <i r="1">
      <x v="18"/>
    </i>
    <i r="1">
      <x v="19"/>
    </i>
    <i r="1">
      <x v="24"/>
    </i>
    <i>
      <x v="14"/>
      <x/>
    </i>
    <i r="1">
      <x v="6"/>
    </i>
    <i r="1">
      <x v="9"/>
    </i>
    <i r="1">
      <x v="12"/>
    </i>
    <i r="1">
      <x v="13"/>
    </i>
    <i r="1">
      <x v="18"/>
    </i>
    <i r="1">
      <x v="23"/>
    </i>
    <i r="1">
      <x v="25"/>
    </i>
    <i r="1">
      <x v="26"/>
    </i>
    <i r="1">
      <x v="28"/>
    </i>
    <i>
      <x v="15"/>
      <x v="1"/>
    </i>
    <i r="1">
      <x v="2"/>
    </i>
    <i r="1">
      <x v="3"/>
    </i>
    <i r="1">
      <x v="4"/>
    </i>
    <i r="1">
      <x v="10"/>
    </i>
    <i r="1">
      <x v="14"/>
    </i>
    <i r="1">
      <x v="17"/>
    </i>
    <i r="1">
      <x v="19"/>
    </i>
    <i r="1">
      <x v="22"/>
    </i>
    <i r="1">
      <x v="23"/>
    </i>
    <i r="1">
      <x v="24"/>
    </i>
    <i r="1">
      <x v="26"/>
    </i>
    <i r="1">
      <x v="27"/>
    </i>
    <i r="1">
      <x v="28"/>
    </i>
    <i r="1">
      <x v="29"/>
    </i>
    <i>
      <x v="16"/>
      <x/>
    </i>
    <i r="1">
      <x v="1"/>
    </i>
    <i r="1">
      <x v="2"/>
    </i>
    <i r="1">
      <x v="10"/>
    </i>
    <i r="1">
      <x v="11"/>
    </i>
    <i r="1">
      <x v="16"/>
    </i>
    <i r="1">
      <x v="17"/>
    </i>
    <i r="1">
      <x v="18"/>
    </i>
    <i r="1">
      <x v="27"/>
    </i>
    <i r="1">
      <x v="29"/>
    </i>
    <i>
      <x v="17"/>
      <x v="5"/>
    </i>
    <i r="1">
      <x v="10"/>
    </i>
    <i r="1">
      <x v="11"/>
    </i>
    <i r="1">
      <x v="13"/>
    </i>
    <i r="1">
      <x v="14"/>
    </i>
    <i r="1">
      <x v="15"/>
    </i>
    <i r="1">
      <x v="17"/>
    </i>
    <i r="1">
      <x v="19"/>
    </i>
    <i r="1">
      <x v="24"/>
    </i>
    <i>
      <x v="18"/>
      <x v="1"/>
    </i>
    <i r="1">
      <x v="5"/>
    </i>
    <i r="1">
      <x v="8"/>
    </i>
    <i r="1">
      <x v="9"/>
    </i>
    <i r="1">
      <x v="14"/>
    </i>
    <i r="1">
      <x v="15"/>
    </i>
    <i r="1">
      <x v="18"/>
    </i>
    <i r="1">
      <x v="19"/>
    </i>
    <i r="1">
      <x v="21"/>
    </i>
    <i r="1">
      <x v="23"/>
    </i>
    <i r="1">
      <x v="24"/>
    </i>
    <i r="1">
      <x v="25"/>
    </i>
    <i>
      <x v="19"/>
      <x v="1"/>
    </i>
    <i r="1">
      <x v="2"/>
    </i>
    <i r="1">
      <x v="3"/>
    </i>
    <i r="1">
      <x v="9"/>
    </i>
    <i r="1">
      <x v="20"/>
    </i>
    <i r="1">
      <x v="22"/>
    </i>
    <i r="1">
      <x v="23"/>
    </i>
    <i r="1">
      <x v="28"/>
    </i>
    <i>
      <x v="20"/>
      <x/>
    </i>
    <i r="1">
      <x v="4"/>
    </i>
    <i r="1">
      <x v="8"/>
    </i>
    <i r="1">
      <x v="13"/>
    </i>
    <i r="1">
      <x v="14"/>
    </i>
    <i r="1">
      <x v="15"/>
    </i>
    <i r="1">
      <x v="17"/>
    </i>
    <i r="1">
      <x v="18"/>
    </i>
    <i r="1">
      <x v="19"/>
    </i>
    <i r="1">
      <x v="20"/>
    </i>
    <i r="1">
      <x v="24"/>
    </i>
    <i r="1">
      <x v="25"/>
    </i>
    <i r="1">
      <x v="26"/>
    </i>
    <i>
      <x v="21"/>
      <x/>
    </i>
    <i r="1">
      <x v="4"/>
    </i>
    <i r="1">
      <x v="6"/>
    </i>
    <i r="1">
      <x v="9"/>
    </i>
    <i r="1">
      <x v="10"/>
    </i>
    <i r="1">
      <x v="11"/>
    </i>
    <i r="1">
      <x v="12"/>
    </i>
    <i r="1">
      <x v="13"/>
    </i>
    <i r="1">
      <x v="16"/>
    </i>
    <i r="1">
      <x v="22"/>
    </i>
    <i r="1">
      <x v="28"/>
    </i>
    <i>
      <x v="22"/>
      <x v="7"/>
    </i>
    <i r="1">
      <x v="8"/>
    </i>
    <i r="1">
      <x v="11"/>
    </i>
    <i r="1">
      <x v="16"/>
    </i>
    <i r="1">
      <x v="17"/>
    </i>
    <i r="1">
      <x v="21"/>
    </i>
    <i r="1">
      <x v="22"/>
    </i>
    <i r="1">
      <x v="25"/>
    </i>
    <i>
      <x v="23"/>
      <x v="2"/>
    </i>
    <i r="1">
      <x v="3"/>
    </i>
    <i r="1">
      <x v="6"/>
    </i>
    <i r="1">
      <x v="10"/>
    </i>
    <i r="1">
      <x v="11"/>
    </i>
    <i r="1">
      <x v="13"/>
    </i>
    <i r="1">
      <x v="19"/>
    </i>
    <i r="1">
      <x v="20"/>
    </i>
    <i r="1">
      <x v="21"/>
    </i>
    <i r="1">
      <x v="23"/>
    </i>
    <i r="1">
      <x v="25"/>
    </i>
    <i>
      <x v="24"/>
      <x v="1"/>
    </i>
    <i r="1">
      <x v="4"/>
    </i>
    <i r="1">
      <x v="5"/>
    </i>
    <i r="1">
      <x v="10"/>
    </i>
    <i r="1">
      <x v="12"/>
    </i>
    <i r="1">
      <x v="14"/>
    </i>
    <i r="1">
      <x v="15"/>
    </i>
    <i r="1">
      <x v="18"/>
    </i>
    <i r="1">
      <x v="23"/>
    </i>
    <i r="1">
      <x v="27"/>
    </i>
    <i r="1">
      <x v="28"/>
    </i>
    <i>
      <x v="25"/>
      <x v="1"/>
    </i>
    <i r="1">
      <x v="2"/>
    </i>
    <i r="1">
      <x v="5"/>
    </i>
    <i r="1">
      <x v="9"/>
    </i>
    <i r="1">
      <x v="11"/>
    </i>
    <i r="1">
      <x v="13"/>
    </i>
    <i r="1">
      <x v="21"/>
    </i>
    <i r="1">
      <x v="22"/>
    </i>
    <i r="1">
      <x v="27"/>
    </i>
    <i r="1">
      <x v="28"/>
    </i>
    <i r="1">
      <x v="29"/>
    </i>
    <i>
      <x v="26"/>
      <x/>
    </i>
    <i r="1">
      <x v="3"/>
    </i>
    <i r="1">
      <x v="9"/>
    </i>
    <i r="1">
      <x v="11"/>
    </i>
    <i r="1">
      <x v="13"/>
    </i>
    <i r="1">
      <x v="14"/>
    </i>
    <i r="1">
      <x v="16"/>
    </i>
    <i r="1">
      <x v="18"/>
    </i>
    <i r="1">
      <x v="19"/>
    </i>
    <i r="1">
      <x v="20"/>
    </i>
    <i r="1">
      <x v="21"/>
    </i>
    <i r="1">
      <x v="22"/>
    </i>
    <i r="1">
      <x v="23"/>
    </i>
    <i>
      <x v="27"/>
      <x v="7"/>
    </i>
    <i r="1">
      <x v="8"/>
    </i>
    <i r="1">
      <x v="9"/>
    </i>
    <i r="1">
      <x v="10"/>
    </i>
    <i r="1">
      <x v="13"/>
    </i>
    <i r="1">
      <x v="14"/>
    </i>
    <i r="1">
      <x v="15"/>
    </i>
    <i r="1">
      <x v="20"/>
    </i>
    <i r="1">
      <x v="21"/>
    </i>
    <i r="1">
      <x v="29"/>
    </i>
    <i>
      <x v="28"/>
      <x v="3"/>
    </i>
    <i r="1">
      <x v="4"/>
    </i>
    <i r="1">
      <x v="7"/>
    </i>
    <i r="1">
      <x v="8"/>
    </i>
    <i r="1">
      <x v="11"/>
    </i>
    <i r="1">
      <x v="13"/>
    </i>
    <i r="1">
      <x v="14"/>
    </i>
    <i r="1">
      <x v="16"/>
    </i>
    <i r="1">
      <x v="18"/>
    </i>
    <i r="1">
      <x v="19"/>
    </i>
    <i r="1">
      <x v="24"/>
    </i>
    <i r="1">
      <x v="26"/>
    </i>
    <i r="1">
      <x v="27"/>
    </i>
    <i>
      <x v="29"/>
      <x v="2"/>
    </i>
    <i r="1">
      <x v="7"/>
    </i>
    <i r="1">
      <x v="8"/>
    </i>
    <i r="1">
      <x v="11"/>
    </i>
    <i r="1">
      <x v="12"/>
    </i>
    <i r="1">
      <x v="13"/>
    </i>
    <i r="1">
      <x v="14"/>
    </i>
    <i r="1">
      <x v="16"/>
    </i>
    <i r="1">
      <x v="17"/>
    </i>
    <i r="1">
      <x v="25"/>
    </i>
    <i r="1">
      <x v="27"/>
    </i>
    <i r="1">
      <x v="28"/>
    </i>
    <i r="1">
      <x v="29"/>
    </i>
    <i>
      <x v="30"/>
      <x v="4"/>
    </i>
    <i r="1">
      <x v="6"/>
    </i>
    <i r="1">
      <x v="8"/>
    </i>
    <i r="1">
      <x v="9"/>
    </i>
    <i r="1">
      <x v="11"/>
    </i>
    <i r="1">
      <x v="12"/>
    </i>
    <i r="1">
      <x v="13"/>
    </i>
    <i r="1">
      <x v="14"/>
    </i>
    <i r="1">
      <x v="15"/>
    </i>
    <i r="1">
      <x v="17"/>
    </i>
    <i r="1">
      <x v="20"/>
    </i>
    <i r="1">
      <x v="21"/>
    </i>
    <i r="1">
      <x v="27"/>
    </i>
    <i r="1">
      <x v="28"/>
    </i>
    <i>
      <x v="31"/>
      <x v="2"/>
    </i>
    <i r="1">
      <x v="3"/>
    </i>
    <i r="1">
      <x v="5"/>
    </i>
    <i r="1">
      <x v="8"/>
    </i>
    <i r="1">
      <x v="12"/>
    </i>
    <i r="1">
      <x v="14"/>
    </i>
    <i r="1">
      <x v="17"/>
    </i>
    <i r="1">
      <x v="20"/>
    </i>
    <i r="1">
      <x v="23"/>
    </i>
    <i r="1">
      <x v="24"/>
    </i>
    <i r="1">
      <x v="26"/>
    </i>
    <i r="1">
      <x v="27"/>
    </i>
    <i>
      <x v="32"/>
      <x v="2"/>
    </i>
    <i r="1">
      <x v="3"/>
    </i>
    <i r="1">
      <x v="11"/>
    </i>
    <i r="1">
      <x v="14"/>
    </i>
    <i r="1">
      <x v="19"/>
    </i>
    <i r="1">
      <x v="20"/>
    </i>
    <i r="1">
      <x v="21"/>
    </i>
    <i r="1">
      <x v="22"/>
    </i>
    <i r="1">
      <x v="23"/>
    </i>
    <i r="1">
      <x v="24"/>
    </i>
    <i>
      <x v="33"/>
      <x v="1"/>
    </i>
    <i r="1">
      <x v="4"/>
    </i>
    <i r="1">
      <x v="8"/>
    </i>
    <i r="1">
      <x v="9"/>
    </i>
    <i r="1">
      <x v="11"/>
    </i>
    <i r="1">
      <x v="16"/>
    </i>
    <i r="1">
      <x v="17"/>
    </i>
    <i r="1">
      <x v="18"/>
    </i>
    <i r="1">
      <x v="20"/>
    </i>
    <i r="1">
      <x v="21"/>
    </i>
    <i r="1">
      <x v="22"/>
    </i>
    <i r="1">
      <x v="23"/>
    </i>
    <i>
      <x v="34"/>
      <x/>
    </i>
    <i r="1">
      <x v="1"/>
    </i>
    <i r="1">
      <x v="10"/>
    </i>
    <i r="1">
      <x v="11"/>
    </i>
    <i r="1">
      <x v="12"/>
    </i>
    <i r="1">
      <x v="20"/>
    </i>
    <i r="1">
      <x v="21"/>
    </i>
    <i r="1">
      <x v="23"/>
    </i>
    <i r="1">
      <x v="25"/>
    </i>
    <i r="1">
      <x v="27"/>
    </i>
    <i r="1">
      <x v="29"/>
    </i>
    <i>
      <x v="35"/>
      <x/>
    </i>
    <i r="1">
      <x v="1"/>
    </i>
    <i r="1">
      <x v="2"/>
    </i>
    <i r="1">
      <x v="3"/>
    </i>
    <i r="1">
      <x v="15"/>
    </i>
    <i r="1">
      <x v="16"/>
    </i>
    <i r="1">
      <x v="18"/>
    </i>
    <i r="1">
      <x v="19"/>
    </i>
    <i r="1">
      <x v="23"/>
    </i>
    <i r="1">
      <x v="25"/>
    </i>
    <i r="1">
      <x v="27"/>
    </i>
    <i r="1">
      <x v="28"/>
    </i>
    <i>
      <x v="36"/>
      <x/>
    </i>
    <i r="1">
      <x v="1"/>
    </i>
    <i r="1">
      <x v="2"/>
    </i>
    <i r="1">
      <x v="3"/>
    </i>
    <i r="1">
      <x v="4"/>
    </i>
    <i r="1">
      <x v="5"/>
    </i>
    <i r="1">
      <x v="11"/>
    </i>
    <i r="1">
      <x v="15"/>
    </i>
    <i r="1">
      <x v="16"/>
    </i>
    <i r="1">
      <x v="19"/>
    </i>
    <i r="1">
      <x v="20"/>
    </i>
    <i r="1">
      <x v="22"/>
    </i>
    <i r="1">
      <x v="26"/>
    </i>
    <i r="1">
      <x v="27"/>
    </i>
    <i r="1">
      <x v="28"/>
    </i>
    <i r="1">
      <x v="29"/>
    </i>
    <i>
      <x v="37"/>
      <x v="4"/>
    </i>
    <i r="1">
      <x v="5"/>
    </i>
    <i r="1">
      <x v="8"/>
    </i>
    <i r="1">
      <x v="9"/>
    </i>
    <i r="1">
      <x v="14"/>
    </i>
    <i r="1">
      <x v="21"/>
    </i>
    <i r="1">
      <x v="22"/>
    </i>
    <i r="1">
      <x v="27"/>
    </i>
    <i>
      <x v="38"/>
      <x v="1"/>
    </i>
    <i r="1">
      <x v="4"/>
    </i>
    <i r="1">
      <x v="8"/>
    </i>
    <i r="1">
      <x v="9"/>
    </i>
    <i r="1">
      <x v="15"/>
    </i>
    <i r="1">
      <x v="16"/>
    </i>
    <i r="1">
      <x v="17"/>
    </i>
    <i r="1">
      <x v="21"/>
    </i>
    <i r="1">
      <x v="22"/>
    </i>
    <i r="1">
      <x v="28"/>
    </i>
    <i>
      <x v="39"/>
      <x/>
    </i>
    <i r="1">
      <x v="2"/>
    </i>
    <i r="1">
      <x v="7"/>
    </i>
    <i r="1">
      <x v="10"/>
    </i>
    <i r="1">
      <x v="11"/>
    </i>
    <i r="1">
      <x v="12"/>
    </i>
    <i r="1">
      <x v="13"/>
    </i>
    <i r="1">
      <x v="14"/>
    </i>
    <i r="1">
      <x v="17"/>
    </i>
    <i r="1">
      <x v="18"/>
    </i>
    <i r="1">
      <x v="22"/>
    </i>
    <i r="1">
      <x v="28"/>
    </i>
    <i r="1">
      <x v="29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amount_inr" fld="4" baseField="2" baseItem="0"/>
    <dataField name="Count of transaction_id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50EE424-87F4-4F3B-984C-696949F2831A}" name="PivotTable3" cacheId="1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1:D93" firstHeaderRow="0" firstDataRow="1" firstDataCol="2"/>
  <pivotFields count="14">
    <pivotField dataField="1"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40">
        <item x="37"/>
        <item x="27"/>
        <item x="4"/>
        <item x="29"/>
        <item x="32"/>
        <item x="18"/>
        <item x="23"/>
        <item x="30"/>
        <item x="39"/>
        <item x="34"/>
        <item x="2"/>
        <item x="9"/>
        <item x="6"/>
        <item x="16"/>
        <item x="19"/>
        <item x="0"/>
        <item x="28"/>
        <item x="7"/>
        <item x="13"/>
        <item x="15"/>
        <item x="17"/>
        <item x="3"/>
        <item x="5"/>
        <item x="31"/>
        <item x="14"/>
        <item x="22"/>
        <item x="1"/>
        <item x="10"/>
        <item x="26"/>
        <item x="24"/>
        <item x="20"/>
        <item x="33"/>
        <item x="11"/>
        <item x="36"/>
        <item x="8"/>
        <item x="25"/>
        <item x="21"/>
        <item x="35"/>
        <item x="38"/>
        <item x="12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22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3">
        <item x="0"/>
        <item x="2"/>
        <item x="1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1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2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14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2">
    <field x="2"/>
    <field x="6"/>
  </rowFields>
  <rowItems count="92">
    <i>
      <x/>
      <x/>
    </i>
    <i r="1">
      <x v="2"/>
    </i>
    <i>
      <x v="1"/>
      <x/>
    </i>
    <i>
      <x v="2"/>
      <x/>
    </i>
    <i r="1">
      <x v="1"/>
    </i>
    <i>
      <x v="3"/>
      <x/>
    </i>
    <i>
      <x v="4"/>
      <x/>
    </i>
    <i r="1">
      <x v="2"/>
    </i>
    <i>
      <x v="5"/>
      <x/>
    </i>
    <i r="1">
      <x v="1"/>
    </i>
    <i>
      <x v="6"/>
      <x/>
    </i>
    <i r="1">
      <x v="1"/>
    </i>
    <i r="1">
      <x v="2"/>
    </i>
    <i>
      <x v="7"/>
      <x/>
    </i>
    <i r="1">
      <x v="1"/>
    </i>
    <i r="1">
      <x v="2"/>
    </i>
    <i>
      <x v="8"/>
      <x/>
    </i>
    <i r="1">
      <x v="2"/>
    </i>
    <i>
      <x v="9"/>
      <x/>
    </i>
    <i r="1">
      <x v="1"/>
    </i>
    <i r="1">
      <x v="2"/>
    </i>
    <i>
      <x v="10"/>
      <x/>
    </i>
    <i r="1">
      <x v="1"/>
    </i>
    <i r="1">
      <x v="2"/>
    </i>
    <i>
      <x v="11"/>
      <x/>
    </i>
    <i r="1">
      <x v="2"/>
    </i>
    <i>
      <x v="12"/>
      <x/>
    </i>
    <i r="1">
      <x v="1"/>
    </i>
    <i r="1">
      <x v="2"/>
    </i>
    <i>
      <x v="13"/>
      <x/>
    </i>
    <i r="1">
      <x v="2"/>
    </i>
    <i>
      <x v="14"/>
      <x/>
    </i>
    <i r="1">
      <x v="2"/>
    </i>
    <i>
      <x v="15"/>
      <x/>
    </i>
    <i r="1">
      <x v="2"/>
    </i>
    <i>
      <x v="16"/>
      <x/>
    </i>
    <i r="1">
      <x v="2"/>
    </i>
    <i>
      <x v="17"/>
      <x/>
    </i>
    <i>
      <x v="18"/>
      <x/>
    </i>
    <i r="1">
      <x v="1"/>
    </i>
    <i r="1">
      <x v="2"/>
    </i>
    <i>
      <x v="19"/>
      <x/>
    </i>
    <i r="1">
      <x v="2"/>
    </i>
    <i>
      <x v="20"/>
      <x/>
    </i>
    <i r="1">
      <x v="2"/>
    </i>
    <i>
      <x v="21"/>
      <x/>
    </i>
    <i r="1">
      <x v="2"/>
    </i>
    <i>
      <x v="22"/>
      <x/>
    </i>
    <i r="1">
      <x v="1"/>
    </i>
    <i>
      <x v="23"/>
      <x/>
    </i>
    <i r="1">
      <x v="1"/>
    </i>
    <i>
      <x v="24"/>
      <x/>
    </i>
    <i r="1">
      <x v="1"/>
    </i>
    <i>
      <x v="25"/>
      <x/>
    </i>
    <i r="1">
      <x v="2"/>
    </i>
    <i>
      <x v="26"/>
      <x/>
    </i>
    <i r="1">
      <x v="1"/>
    </i>
    <i r="1">
      <x v="2"/>
    </i>
    <i>
      <x v="27"/>
      <x/>
    </i>
    <i r="1">
      <x v="1"/>
    </i>
    <i r="1">
      <x v="2"/>
    </i>
    <i>
      <x v="28"/>
      <x/>
    </i>
    <i r="1">
      <x v="1"/>
    </i>
    <i r="1">
      <x v="2"/>
    </i>
    <i>
      <x v="29"/>
      <x/>
    </i>
    <i r="1">
      <x v="2"/>
    </i>
    <i>
      <x v="30"/>
      <x/>
    </i>
    <i r="1">
      <x v="1"/>
    </i>
    <i r="1">
      <x v="2"/>
    </i>
    <i>
      <x v="31"/>
      <x/>
    </i>
    <i r="1">
      <x v="1"/>
    </i>
    <i r="1">
      <x v="2"/>
    </i>
    <i>
      <x v="32"/>
      <x/>
    </i>
    <i r="1">
      <x v="2"/>
    </i>
    <i>
      <x v="33"/>
      <x/>
    </i>
    <i r="1">
      <x v="2"/>
    </i>
    <i>
      <x v="34"/>
      <x/>
    </i>
    <i r="1">
      <x v="2"/>
    </i>
    <i>
      <x v="35"/>
      <x/>
    </i>
    <i r="1">
      <x v="1"/>
    </i>
    <i>
      <x v="36"/>
      <x/>
    </i>
    <i r="1">
      <x v="1"/>
    </i>
    <i r="1">
      <x v="2"/>
    </i>
    <i>
      <x v="37"/>
      <x/>
    </i>
    <i r="1">
      <x v="2"/>
    </i>
    <i>
      <x v="38"/>
      <x/>
    </i>
    <i r="1">
      <x v="1"/>
    </i>
    <i r="1">
      <x v="2"/>
    </i>
    <i>
      <x v="39"/>
      <x/>
    </i>
    <i r="1">
      <x v="1"/>
    </i>
    <i r="1">
      <x v="2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amount_inr" fld="4" baseField="0" baseItem="0"/>
    <dataField name="Count of transaction_id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1"/>
  <sheetViews>
    <sheetView workbookViewId="0"/>
  </sheetViews>
  <sheetFormatPr defaultRowHeight="14.6" x14ac:dyDescent="0.4"/>
  <sheetData>
    <row r="1" spans="1:4" x14ac:dyDescent="0.4">
      <c r="A1" t="s">
        <v>0</v>
      </c>
      <c r="B1" t="s">
        <v>1</v>
      </c>
      <c r="C1" t="s">
        <v>2</v>
      </c>
      <c r="D1" t="s">
        <v>3</v>
      </c>
    </row>
    <row r="2" spans="1:4" x14ac:dyDescent="0.4">
      <c r="A2">
        <v>1</v>
      </c>
      <c r="B2" t="s">
        <v>4</v>
      </c>
      <c r="C2" t="s">
        <v>5</v>
      </c>
      <c r="D2" t="s">
        <v>6</v>
      </c>
    </row>
    <row r="3" spans="1:4" x14ac:dyDescent="0.4">
      <c r="A3">
        <v>2</v>
      </c>
      <c r="B3" t="s">
        <v>7</v>
      </c>
      <c r="C3" t="s">
        <v>8</v>
      </c>
      <c r="D3" t="s">
        <v>9</v>
      </c>
    </row>
    <row r="4" spans="1:4" x14ac:dyDescent="0.4">
      <c r="A4">
        <v>3</v>
      </c>
      <c r="B4" t="s">
        <v>10</v>
      </c>
      <c r="C4" t="s">
        <v>8</v>
      </c>
      <c r="D4" t="s">
        <v>11</v>
      </c>
    </row>
    <row r="5" spans="1:4" x14ac:dyDescent="0.4">
      <c r="A5">
        <v>4</v>
      </c>
      <c r="B5" t="s">
        <v>12</v>
      </c>
      <c r="C5" t="s">
        <v>5</v>
      </c>
      <c r="D5" t="s">
        <v>11</v>
      </c>
    </row>
    <row r="6" spans="1:4" x14ac:dyDescent="0.4">
      <c r="A6">
        <v>5</v>
      </c>
      <c r="B6" t="s">
        <v>13</v>
      </c>
      <c r="C6" t="s">
        <v>14</v>
      </c>
      <c r="D6" t="s">
        <v>6</v>
      </c>
    </row>
    <row r="7" spans="1:4" x14ac:dyDescent="0.4">
      <c r="A7">
        <v>6</v>
      </c>
      <c r="B7" t="s">
        <v>15</v>
      </c>
      <c r="C7" t="s">
        <v>16</v>
      </c>
      <c r="D7" t="s">
        <v>6</v>
      </c>
    </row>
    <row r="8" spans="1:4" x14ac:dyDescent="0.4">
      <c r="A8">
        <v>7</v>
      </c>
      <c r="B8" t="s">
        <v>17</v>
      </c>
      <c r="C8" t="s">
        <v>16</v>
      </c>
      <c r="D8" t="s">
        <v>11</v>
      </c>
    </row>
    <row r="9" spans="1:4" x14ac:dyDescent="0.4">
      <c r="A9">
        <v>8</v>
      </c>
      <c r="B9" t="s">
        <v>18</v>
      </c>
      <c r="C9" t="s">
        <v>16</v>
      </c>
      <c r="D9" t="s">
        <v>19</v>
      </c>
    </row>
    <row r="10" spans="1:4" x14ac:dyDescent="0.4">
      <c r="A10">
        <v>9</v>
      </c>
      <c r="B10" t="s">
        <v>20</v>
      </c>
      <c r="C10" t="s">
        <v>5</v>
      </c>
      <c r="D10" t="s">
        <v>19</v>
      </c>
    </row>
    <row r="11" spans="1:4" x14ac:dyDescent="0.4">
      <c r="A11">
        <v>10</v>
      </c>
      <c r="B11" t="s">
        <v>21</v>
      </c>
      <c r="C11" t="s">
        <v>8</v>
      </c>
      <c r="D11" t="s">
        <v>9</v>
      </c>
    </row>
    <row r="12" spans="1:4" x14ac:dyDescent="0.4">
      <c r="A12">
        <v>11</v>
      </c>
      <c r="B12" t="s">
        <v>22</v>
      </c>
      <c r="C12" t="s">
        <v>5</v>
      </c>
      <c r="D12" t="s">
        <v>19</v>
      </c>
    </row>
    <row r="13" spans="1:4" x14ac:dyDescent="0.4">
      <c r="A13">
        <v>12</v>
      </c>
      <c r="B13" t="s">
        <v>23</v>
      </c>
      <c r="C13" t="s">
        <v>5</v>
      </c>
      <c r="D13" t="s">
        <v>11</v>
      </c>
    </row>
    <row r="14" spans="1:4" x14ac:dyDescent="0.4">
      <c r="A14">
        <v>13</v>
      </c>
      <c r="B14" t="s">
        <v>24</v>
      </c>
      <c r="C14" t="s">
        <v>25</v>
      </c>
      <c r="D14" t="s">
        <v>11</v>
      </c>
    </row>
    <row r="15" spans="1:4" x14ac:dyDescent="0.4">
      <c r="A15">
        <v>14</v>
      </c>
      <c r="B15" t="s">
        <v>26</v>
      </c>
      <c r="C15" t="s">
        <v>8</v>
      </c>
      <c r="D15" t="s">
        <v>11</v>
      </c>
    </row>
    <row r="16" spans="1:4" x14ac:dyDescent="0.4">
      <c r="A16">
        <v>15</v>
      </c>
      <c r="B16" t="s">
        <v>27</v>
      </c>
      <c r="C16" t="s">
        <v>25</v>
      </c>
      <c r="D16" t="s">
        <v>19</v>
      </c>
    </row>
    <row r="17" spans="1:4" x14ac:dyDescent="0.4">
      <c r="A17">
        <v>16</v>
      </c>
      <c r="B17" t="s">
        <v>28</v>
      </c>
      <c r="C17" t="s">
        <v>29</v>
      </c>
      <c r="D17" t="s">
        <v>9</v>
      </c>
    </row>
    <row r="18" spans="1:4" x14ac:dyDescent="0.4">
      <c r="A18">
        <v>17</v>
      </c>
      <c r="B18" t="s">
        <v>30</v>
      </c>
      <c r="C18" t="s">
        <v>8</v>
      </c>
      <c r="D18" t="s">
        <v>19</v>
      </c>
    </row>
    <row r="19" spans="1:4" x14ac:dyDescent="0.4">
      <c r="A19">
        <v>18</v>
      </c>
      <c r="B19" t="s">
        <v>31</v>
      </c>
      <c r="C19" t="s">
        <v>8</v>
      </c>
      <c r="D19" t="s">
        <v>9</v>
      </c>
    </row>
    <row r="20" spans="1:4" x14ac:dyDescent="0.4">
      <c r="A20">
        <v>19</v>
      </c>
      <c r="B20" t="s">
        <v>32</v>
      </c>
      <c r="C20" t="s">
        <v>8</v>
      </c>
      <c r="D20" t="s">
        <v>19</v>
      </c>
    </row>
    <row r="21" spans="1:4" x14ac:dyDescent="0.4">
      <c r="A21">
        <v>20</v>
      </c>
      <c r="B21" t="s">
        <v>33</v>
      </c>
      <c r="C21" t="s">
        <v>16</v>
      </c>
      <c r="D21" t="s">
        <v>11</v>
      </c>
    </row>
    <row r="22" spans="1:4" x14ac:dyDescent="0.4">
      <c r="A22">
        <v>21</v>
      </c>
      <c r="B22" t="s">
        <v>34</v>
      </c>
      <c r="C22" t="s">
        <v>16</v>
      </c>
      <c r="D22" t="s">
        <v>11</v>
      </c>
    </row>
    <row r="23" spans="1:4" x14ac:dyDescent="0.4">
      <c r="A23">
        <v>22</v>
      </c>
      <c r="B23" t="s">
        <v>35</v>
      </c>
      <c r="C23" t="s">
        <v>25</v>
      </c>
      <c r="D23" t="s">
        <v>6</v>
      </c>
    </row>
    <row r="24" spans="1:4" x14ac:dyDescent="0.4">
      <c r="A24">
        <v>23</v>
      </c>
      <c r="B24" t="s">
        <v>36</v>
      </c>
      <c r="C24" t="s">
        <v>25</v>
      </c>
      <c r="D24" t="s">
        <v>19</v>
      </c>
    </row>
    <row r="25" spans="1:4" x14ac:dyDescent="0.4">
      <c r="A25">
        <v>24</v>
      </c>
      <c r="B25" t="s">
        <v>37</v>
      </c>
      <c r="C25" t="s">
        <v>8</v>
      </c>
      <c r="D25" t="s">
        <v>19</v>
      </c>
    </row>
    <row r="26" spans="1:4" x14ac:dyDescent="0.4">
      <c r="A26">
        <v>25</v>
      </c>
      <c r="B26" t="s">
        <v>38</v>
      </c>
      <c r="C26" t="s">
        <v>25</v>
      </c>
      <c r="D26" t="s">
        <v>6</v>
      </c>
    </row>
    <row r="27" spans="1:4" x14ac:dyDescent="0.4">
      <c r="A27">
        <v>26</v>
      </c>
      <c r="B27" t="s">
        <v>39</v>
      </c>
      <c r="C27" t="s">
        <v>16</v>
      </c>
      <c r="D27" t="s">
        <v>11</v>
      </c>
    </row>
    <row r="28" spans="1:4" x14ac:dyDescent="0.4">
      <c r="A28">
        <v>27</v>
      </c>
      <c r="B28" t="s">
        <v>40</v>
      </c>
      <c r="C28" t="s">
        <v>5</v>
      </c>
      <c r="D28" t="s">
        <v>19</v>
      </c>
    </row>
    <row r="29" spans="1:4" x14ac:dyDescent="0.4">
      <c r="A29">
        <v>28</v>
      </c>
      <c r="B29" t="s">
        <v>41</v>
      </c>
      <c r="C29" t="s">
        <v>5</v>
      </c>
      <c r="D29" t="s">
        <v>6</v>
      </c>
    </row>
    <row r="30" spans="1:4" x14ac:dyDescent="0.4">
      <c r="A30">
        <v>29</v>
      </c>
      <c r="B30" t="s">
        <v>42</v>
      </c>
      <c r="C30" t="s">
        <v>5</v>
      </c>
      <c r="D30" t="s">
        <v>19</v>
      </c>
    </row>
    <row r="31" spans="1:4" x14ac:dyDescent="0.4">
      <c r="A31">
        <v>30</v>
      </c>
      <c r="B31" t="s">
        <v>43</v>
      </c>
      <c r="C31" t="s">
        <v>25</v>
      </c>
      <c r="D31" t="s">
        <v>9</v>
      </c>
    </row>
    <row r="32" spans="1:4" x14ac:dyDescent="0.4">
      <c r="A32">
        <v>31</v>
      </c>
      <c r="B32" t="s">
        <v>44</v>
      </c>
      <c r="C32" t="s">
        <v>29</v>
      </c>
      <c r="D32" t="s">
        <v>11</v>
      </c>
    </row>
    <row r="33" spans="1:4" x14ac:dyDescent="0.4">
      <c r="A33">
        <v>32</v>
      </c>
      <c r="B33" t="s">
        <v>45</v>
      </c>
      <c r="C33" t="s">
        <v>16</v>
      </c>
      <c r="D33" t="s">
        <v>9</v>
      </c>
    </row>
    <row r="34" spans="1:4" x14ac:dyDescent="0.4">
      <c r="A34">
        <v>33</v>
      </c>
      <c r="B34" t="s">
        <v>46</v>
      </c>
      <c r="C34" t="s">
        <v>29</v>
      </c>
      <c r="D34" t="s">
        <v>11</v>
      </c>
    </row>
    <row r="35" spans="1:4" x14ac:dyDescent="0.4">
      <c r="A35">
        <v>34</v>
      </c>
      <c r="B35" t="s">
        <v>47</v>
      </c>
      <c r="C35" t="s">
        <v>25</v>
      </c>
      <c r="D35" t="s">
        <v>6</v>
      </c>
    </row>
    <row r="36" spans="1:4" x14ac:dyDescent="0.4">
      <c r="A36">
        <v>35</v>
      </c>
      <c r="B36" t="s">
        <v>48</v>
      </c>
      <c r="C36" t="s">
        <v>14</v>
      </c>
      <c r="D36" t="s">
        <v>11</v>
      </c>
    </row>
    <row r="37" spans="1:4" x14ac:dyDescent="0.4">
      <c r="A37">
        <v>36</v>
      </c>
      <c r="B37" t="s">
        <v>49</v>
      </c>
      <c r="C37" t="s">
        <v>50</v>
      </c>
      <c r="D37" t="s">
        <v>11</v>
      </c>
    </row>
    <row r="38" spans="1:4" x14ac:dyDescent="0.4">
      <c r="A38">
        <v>37</v>
      </c>
      <c r="B38" t="s">
        <v>51</v>
      </c>
      <c r="C38" t="s">
        <v>50</v>
      </c>
      <c r="D38" t="s">
        <v>6</v>
      </c>
    </row>
    <row r="39" spans="1:4" x14ac:dyDescent="0.4">
      <c r="A39">
        <v>38</v>
      </c>
      <c r="B39" t="s">
        <v>52</v>
      </c>
      <c r="C39" t="s">
        <v>8</v>
      </c>
      <c r="D39" t="s">
        <v>11</v>
      </c>
    </row>
    <row r="40" spans="1:4" x14ac:dyDescent="0.4">
      <c r="A40">
        <v>39</v>
      </c>
      <c r="B40" t="s">
        <v>53</v>
      </c>
      <c r="C40" t="s">
        <v>50</v>
      </c>
      <c r="D40" t="s">
        <v>19</v>
      </c>
    </row>
    <row r="41" spans="1:4" x14ac:dyDescent="0.4">
      <c r="A41">
        <v>40</v>
      </c>
      <c r="B41" t="s">
        <v>54</v>
      </c>
      <c r="C41" t="s">
        <v>50</v>
      </c>
      <c r="D41" t="s">
        <v>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41"/>
  <sheetViews>
    <sheetView workbookViewId="0">
      <selection activeCell="G8" sqref="G8"/>
    </sheetView>
  </sheetViews>
  <sheetFormatPr defaultRowHeight="14.6" x14ac:dyDescent="0.4"/>
  <cols>
    <col min="1" max="1" width="11.3828125" bestFit="1" customWidth="1"/>
    <col min="2" max="2" width="14.53515625" bestFit="1" customWidth="1"/>
    <col min="3" max="3" width="12.3046875" bestFit="1" customWidth="1"/>
    <col min="4" max="4" width="6.07421875" bestFit="1" customWidth="1"/>
  </cols>
  <sheetData>
    <row r="1" spans="1:4" x14ac:dyDescent="0.4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4">
      <c r="A2">
        <v>1</v>
      </c>
      <c r="B2" t="s">
        <v>4</v>
      </c>
      <c r="C2" t="s">
        <v>5</v>
      </c>
      <c r="D2" t="s">
        <v>6</v>
      </c>
    </row>
    <row r="3" spans="1:4" x14ac:dyDescent="0.4">
      <c r="A3">
        <v>2</v>
      </c>
      <c r="B3" t="s">
        <v>7</v>
      </c>
      <c r="C3" t="s">
        <v>8</v>
      </c>
      <c r="D3" t="s">
        <v>9</v>
      </c>
    </row>
    <row r="4" spans="1:4" x14ac:dyDescent="0.4">
      <c r="A4">
        <v>3</v>
      </c>
      <c r="B4" t="s">
        <v>10</v>
      </c>
      <c r="C4" t="s">
        <v>8</v>
      </c>
      <c r="D4" t="s">
        <v>11</v>
      </c>
    </row>
    <row r="5" spans="1:4" x14ac:dyDescent="0.4">
      <c r="A5">
        <v>4</v>
      </c>
      <c r="B5" t="s">
        <v>12</v>
      </c>
      <c r="C5" t="s">
        <v>5</v>
      </c>
      <c r="D5" t="s">
        <v>11</v>
      </c>
    </row>
    <row r="6" spans="1:4" x14ac:dyDescent="0.4">
      <c r="A6">
        <v>5</v>
      </c>
      <c r="B6" t="s">
        <v>13</v>
      </c>
      <c r="C6" t="s">
        <v>14</v>
      </c>
      <c r="D6" t="s">
        <v>6</v>
      </c>
    </row>
    <row r="7" spans="1:4" x14ac:dyDescent="0.4">
      <c r="A7">
        <v>6</v>
      </c>
      <c r="B7" t="s">
        <v>15</v>
      </c>
      <c r="C7" t="s">
        <v>16</v>
      </c>
      <c r="D7" t="s">
        <v>6</v>
      </c>
    </row>
    <row r="8" spans="1:4" x14ac:dyDescent="0.4">
      <c r="A8">
        <v>7</v>
      </c>
      <c r="B8" t="s">
        <v>17</v>
      </c>
      <c r="C8" t="s">
        <v>16</v>
      </c>
      <c r="D8" t="s">
        <v>11</v>
      </c>
    </row>
    <row r="9" spans="1:4" x14ac:dyDescent="0.4">
      <c r="A9">
        <v>8</v>
      </c>
      <c r="B9" t="s">
        <v>18</v>
      </c>
      <c r="C9" t="s">
        <v>16</v>
      </c>
      <c r="D9" t="s">
        <v>19</v>
      </c>
    </row>
    <row r="10" spans="1:4" x14ac:dyDescent="0.4">
      <c r="A10">
        <v>9</v>
      </c>
      <c r="B10" t="s">
        <v>20</v>
      </c>
      <c r="C10" t="s">
        <v>5</v>
      </c>
      <c r="D10" t="s">
        <v>19</v>
      </c>
    </row>
    <row r="11" spans="1:4" x14ac:dyDescent="0.4">
      <c r="A11">
        <v>10</v>
      </c>
      <c r="B11" t="s">
        <v>21</v>
      </c>
      <c r="C11" t="s">
        <v>8</v>
      </c>
      <c r="D11" t="s">
        <v>9</v>
      </c>
    </row>
    <row r="12" spans="1:4" x14ac:dyDescent="0.4">
      <c r="A12">
        <v>11</v>
      </c>
      <c r="B12" t="s">
        <v>22</v>
      </c>
      <c r="C12" t="s">
        <v>5</v>
      </c>
      <c r="D12" t="s">
        <v>19</v>
      </c>
    </row>
    <row r="13" spans="1:4" x14ac:dyDescent="0.4">
      <c r="A13">
        <v>12</v>
      </c>
      <c r="B13" t="s">
        <v>23</v>
      </c>
      <c r="C13" t="s">
        <v>5</v>
      </c>
      <c r="D13" t="s">
        <v>11</v>
      </c>
    </row>
    <row r="14" spans="1:4" x14ac:dyDescent="0.4">
      <c r="A14">
        <v>13</v>
      </c>
      <c r="B14" t="s">
        <v>24</v>
      </c>
      <c r="C14" t="s">
        <v>25</v>
      </c>
      <c r="D14" t="s">
        <v>11</v>
      </c>
    </row>
    <row r="15" spans="1:4" x14ac:dyDescent="0.4">
      <c r="A15">
        <v>14</v>
      </c>
      <c r="B15" t="s">
        <v>26</v>
      </c>
      <c r="C15" t="s">
        <v>8</v>
      </c>
      <c r="D15" t="s">
        <v>11</v>
      </c>
    </row>
    <row r="16" spans="1:4" x14ac:dyDescent="0.4">
      <c r="A16">
        <v>15</v>
      </c>
      <c r="B16" t="s">
        <v>27</v>
      </c>
      <c r="C16" t="s">
        <v>25</v>
      </c>
      <c r="D16" t="s">
        <v>19</v>
      </c>
    </row>
    <row r="17" spans="1:4" x14ac:dyDescent="0.4">
      <c r="A17">
        <v>16</v>
      </c>
      <c r="B17" t="s">
        <v>28</v>
      </c>
      <c r="C17" t="s">
        <v>29</v>
      </c>
      <c r="D17" t="s">
        <v>9</v>
      </c>
    </row>
    <row r="18" spans="1:4" x14ac:dyDescent="0.4">
      <c r="A18">
        <v>17</v>
      </c>
      <c r="B18" t="s">
        <v>30</v>
      </c>
      <c r="C18" t="s">
        <v>8</v>
      </c>
      <c r="D18" t="s">
        <v>19</v>
      </c>
    </row>
    <row r="19" spans="1:4" x14ac:dyDescent="0.4">
      <c r="A19">
        <v>18</v>
      </c>
      <c r="B19" t="s">
        <v>31</v>
      </c>
      <c r="C19" t="s">
        <v>8</v>
      </c>
      <c r="D19" t="s">
        <v>9</v>
      </c>
    </row>
    <row r="20" spans="1:4" x14ac:dyDescent="0.4">
      <c r="A20">
        <v>19</v>
      </c>
      <c r="B20" t="s">
        <v>32</v>
      </c>
      <c r="C20" t="s">
        <v>8</v>
      </c>
      <c r="D20" t="s">
        <v>19</v>
      </c>
    </row>
    <row r="21" spans="1:4" x14ac:dyDescent="0.4">
      <c r="A21">
        <v>20</v>
      </c>
      <c r="B21" t="s">
        <v>33</v>
      </c>
      <c r="C21" t="s">
        <v>16</v>
      </c>
      <c r="D21" t="s">
        <v>11</v>
      </c>
    </row>
    <row r="22" spans="1:4" x14ac:dyDescent="0.4">
      <c r="A22">
        <v>21</v>
      </c>
      <c r="B22" t="s">
        <v>34</v>
      </c>
      <c r="C22" t="s">
        <v>16</v>
      </c>
      <c r="D22" t="s">
        <v>11</v>
      </c>
    </row>
    <row r="23" spans="1:4" x14ac:dyDescent="0.4">
      <c r="A23">
        <v>22</v>
      </c>
      <c r="B23" t="s">
        <v>35</v>
      </c>
      <c r="C23" t="s">
        <v>25</v>
      </c>
      <c r="D23" t="s">
        <v>6</v>
      </c>
    </row>
    <row r="24" spans="1:4" x14ac:dyDescent="0.4">
      <c r="A24">
        <v>23</v>
      </c>
      <c r="B24" t="s">
        <v>36</v>
      </c>
      <c r="C24" t="s">
        <v>25</v>
      </c>
      <c r="D24" t="s">
        <v>19</v>
      </c>
    </row>
    <row r="25" spans="1:4" x14ac:dyDescent="0.4">
      <c r="A25">
        <v>24</v>
      </c>
      <c r="B25" t="s">
        <v>37</v>
      </c>
      <c r="C25" t="s">
        <v>8</v>
      </c>
      <c r="D25" t="s">
        <v>19</v>
      </c>
    </row>
    <row r="26" spans="1:4" x14ac:dyDescent="0.4">
      <c r="A26">
        <v>25</v>
      </c>
      <c r="B26" t="s">
        <v>38</v>
      </c>
      <c r="C26" t="s">
        <v>25</v>
      </c>
      <c r="D26" t="s">
        <v>6</v>
      </c>
    </row>
    <row r="27" spans="1:4" x14ac:dyDescent="0.4">
      <c r="A27">
        <v>26</v>
      </c>
      <c r="B27" t="s">
        <v>39</v>
      </c>
      <c r="C27" t="s">
        <v>16</v>
      </c>
      <c r="D27" t="s">
        <v>11</v>
      </c>
    </row>
    <row r="28" spans="1:4" x14ac:dyDescent="0.4">
      <c r="A28">
        <v>27</v>
      </c>
      <c r="B28" t="s">
        <v>40</v>
      </c>
      <c r="C28" t="s">
        <v>5</v>
      </c>
      <c r="D28" t="s">
        <v>19</v>
      </c>
    </row>
    <row r="29" spans="1:4" x14ac:dyDescent="0.4">
      <c r="A29">
        <v>28</v>
      </c>
      <c r="B29" t="s">
        <v>41</v>
      </c>
      <c r="C29" t="s">
        <v>5</v>
      </c>
      <c r="D29" t="s">
        <v>6</v>
      </c>
    </row>
    <row r="30" spans="1:4" x14ac:dyDescent="0.4">
      <c r="A30">
        <v>29</v>
      </c>
      <c r="B30" t="s">
        <v>42</v>
      </c>
      <c r="C30" t="s">
        <v>5</v>
      </c>
      <c r="D30" t="s">
        <v>19</v>
      </c>
    </row>
    <row r="31" spans="1:4" x14ac:dyDescent="0.4">
      <c r="A31">
        <v>30</v>
      </c>
      <c r="B31" t="s">
        <v>43</v>
      </c>
      <c r="C31" t="s">
        <v>25</v>
      </c>
      <c r="D31" t="s">
        <v>9</v>
      </c>
    </row>
    <row r="32" spans="1:4" x14ac:dyDescent="0.4">
      <c r="A32">
        <v>31</v>
      </c>
      <c r="B32" t="s">
        <v>44</v>
      </c>
      <c r="C32" t="s">
        <v>29</v>
      </c>
      <c r="D32" t="s">
        <v>11</v>
      </c>
    </row>
    <row r="33" spans="1:4" x14ac:dyDescent="0.4">
      <c r="A33">
        <v>32</v>
      </c>
      <c r="B33" t="s">
        <v>45</v>
      </c>
      <c r="C33" t="s">
        <v>16</v>
      </c>
      <c r="D33" t="s">
        <v>9</v>
      </c>
    </row>
    <row r="34" spans="1:4" x14ac:dyDescent="0.4">
      <c r="A34">
        <v>33</v>
      </c>
      <c r="B34" t="s">
        <v>46</v>
      </c>
      <c r="C34" t="s">
        <v>29</v>
      </c>
      <c r="D34" t="s">
        <v>11</v>
      </c>
    </row>
    <row r="35" spans="1:4" x14ac:dyDescent="0.4">
      <c r="A35">
        <v>34</v>
      </c>
      <c r="B35" t="s">
        <v>47</v>
      </c>
      <c r="C35" t="s">
        <v>25</v>
      </c>
      <c r="D35" t="s">
        <v>6</v>
      </c>
    </row>
    <row r="36" spans="1:4" x14ac:dyDescent="0.4">
      <c r="A36">
        <v>35</v>
      </c>
      <c r="B36" t="s">
        <v>48</v>
      </c>
      <c r="C36" t="s">
        <v>14</v>
      </c>
      <c r="D36" t="s">
        <v>11</v>
      </c>
    </row>
    <row r="37" spans="1:4" x14ac:dyDescent="0.4">
      <c r="A37">
        <v>36</v>
      </c>
      <c r="B37" t="s">
        <v>49</v>
      </c>
      <c r="C37" t="s">
        <v>50</v>
      </c>
      <c r="D37" t="s">
        <v>11</v>
      </c>
    </row>
    <row r="38" spans="1:4" x14ac:dyDescent="0.4">
      <c r="A38">
        <v>37</v>
      </c>
      <c r="B38" t="s">
        <v>51</v>
      </c>
      <c r="C38" t="s">
        <v>50</v>
      </c>
      <c r="D38" t="s">
        <v>6</v>
      </c>
    </row>
    <row r="39" spans="1:4" x14ac:dyDescent="0.4">
      <c r="A39">
        <v>38</v>
      </c>
      <c r="B39" t="s">
        <v>52</v>
      </c>
      <c r="C39" t="s">
        <v>8</v>
      </c>
      <c r="D39" t="s">
        <v>11</v>
      </c>
    </row>
    <row r="40" spans="1:4" x14ac:dyDescent="0.4">
      <c r="A40">
        <v>39</v>
      </c>
      <c r="B40" t="s">
        <v>53</v>
      </c>
      <c r="C40" t="s">
        <v>50</v>
      </c>
      <c r="D40" t="s">
        <v>19</v>
      </c>
    </row>
    <row r="41" spans="1:4" x14ac:dyDescent="0.4">
      <c r="A41">
        <v>40</v>
      </c>
      <c r="B41" t="s">
        <v>54</v>
      </c>
      <c r="C41" t="s">
        <v>50</v>
      </c>
      <c r="D41" t="s">
        <v>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N548"/>
  <sheetViews>
    <sheetView workbookViewId="0">
      <selection activeCell="I12" sqref="I12"/>
    </sheetView>
  </sheetViews>
  <sheetFormatPr defaultRowHeight="14.6" x14ac:dyDescent="0.4"/>
  <cols>
    <col min="1" max="1" width="12.921875" bestFit="1" customWidth="1"/>
    <col min="2" max="2" width="7" bestFit="1" customWidth="1"/>
    <col min="3" max="3" width="11.3828125" bestFit="1" customWidth="1"/>
    <col min="4" max="4" width="15.07421875" bestFit="1" customWidth="1"/>
    <col min="5" max="5" width="10.3828125" bestFit="1" customWidth="1"/>
    <col min="6" max="6" width="15.4609375" bestFit="1" customWidth="1"/>
    <col min="7" max="7" width="10.15234375" bestFit="1" customWidth="1"/>
    <col min="8" max="8" width="9.4609375" bestFit="1" customWidth="1"/>
    <col min="9" max="9" width="14.53515625" bestFit="1" customWidth="1"/>
    <col min="10" max="10" width="12.3046875" bestFit="1" customWidth="1"/>
    <col min="11" max="11" width="6.07421875" bestFit="1" customWidth="1"/>
    <col min="12" max="12" width="6.61328125" bestFit="1" customWidth="1"/>
    <col min="13" max="13" width="16.07421875" bestFit="1" customWidth="1"/>
    <col min="14" max="14" width="15" bestFit="1" customWidth="1"/>
  </cols>
  <sheetData>
    <row r="1" spans="1:14" x14ac:dyDescent="0.4">
      <c r="A1" s="1" t="s">
        <v>55</v>
      </c>
      <c r="B1" s="1" t="s">
        <v>56</v>
      </c>
      <c r="C1" s="1" t="s">
        <v>0</v>
      </c>
      <c r="D1" s="1" t="s">
        <v>57</v>
      </c>
      <c r="E1" s="1" t="s">
        <v>58</v>
      </c>
      <c r="F1" s="1" t="s">
        <v>59</v>
      </c>
      <c r="G1" s="1" t="s">
        <v>60</v>
      </c>
      <c r="H1" s="1" t="s">
        <v>61</v>
      </c>
      <c r="I1" s="1" t="s">
        <v>1</v>
      </c>
      <c r="J1" s="1" t="s">
        <v>2</v>
      </c>
      <c r="K1" s="1" t="s">
        <v>3</v>
      </c>
      <c r="L1" s="4" t="s">
        <v>617</v>
      </c>
      <c r="M1" s="5" t="s">
        <v>624</v>
      </c>
      <c r="N1" s="7" t="s">
        <v>626</v>
      </c>
    </row>
    <row r="2" spans="1:14" x14ac:dyDescent="0.4">
      <c r="A2" t="s">
        <v>62</v>
      </c>
      <c r="B2">
        <v>350</v>
      </c>
      <c r="C2">
        <v>16</v>
      </c>
      <c r="D2" s="2">
        <v>46051.467361111114</v>
      </c>
      <c r="E2">
        <v>2999</v>
      </c>
      <c r="F2" t="s">
        <v>63</v>
      </c>
      <c r="G2" t="s">
        <v>64</v>
      </c>
      <c r="H2">
        <v>85</v>
      </c>
      <c r="I2" t="str">
        <f>IFERROR(VLOOKUP($C2,Merchants!$A$2:$D$41,2,FALSE),"Merchant not found")</f>
        <v>Merchant_016</v>
      </c>
      <c r="J2" t="str">
        <f>IFERROR(VLOOKUP($C2,Merchants!$A$2:$D$41,3,FALSE),"Merchant not found")</f>
        <v>bill_payment</v>
      </c>
      <c r="K2" t="str">
        <f>IFERROR(VLOOKUP($C2,Merchants!$A$2:$D$41,4,FALSE),"Merchant not found")</f>
        <v>West</v>
      </c>
      <c r="L2" s="3">
        <f>IFERROR(HLOOKUP(F2,Fee_Lookup!$B$1:$E$2,2,FALSE),"Method not found")</f>
        <v>7.4999999999999997E-3</v>
      </c>
      <c r="M2" s="6">
        <f>E2*L2</f>
        <v>22.4925</v>
      </c>
      <c r="N2" s="8">
        <f>INT(D2)</f>
        <v>46051</v>
      </c>
    </row>
    <row r="3" spans="1:14" x14ac:dyDescent="0.4">
      <c r="A3" t="s">
        <v>65</v>
      </c>
      <c r="B3">
        <v>287</v>
      </c>
      <c r="C3">
        <v>27</v>
      </c>
      <c r="D3" s="2">
        <v>46026.492361111108</v>
      </c>
      <c r="E3">
        <v>49</v>
      </c>
      <c r="F3" t="s">
        <v>66</v>
      </c>
      <c r="G3" t="s">
        <v>64</v>
      </c>
      <c r="H3">
        <v>79</v>
      </c>
      <c r="I3" t="str">
        <f>IFERROR(VLOOKUP($C3,Merchants!$A$2:$D$41,2,FALSE),"Merchant not found")</f>
        <v>Merchant_027</v>
      </c>
      <c r="J3" t="str">
        <f>IFERROR(VLOOKUP($C3,Merchants!$A$2:$D$41,3,FALSE),"Merchant not found")</f>
        <v>ecommerce</v>
      </c>
      <c r="K3" t="str">
        <f>IFERROR(VLOOKUP($C3,Merchants!$A$2:$D$41,4,FALSE),"Merchant not found")</f>
        <v>North</v>
      </c>
      <c r="L3" s="3">
        <f>IFERROR(HLOOKUP(F3,Fee_Lookup!$B$1:$E$2,2,FALSE),"Method not found")</f>
        <v>5.0000000000000001E-3</v>
      </c>
      <c r="M3" s="6">
        <f t="shared" ref="M3:M66" si="0">E3*L3</f>
        <v>0.245</v>
      </c>
      <c r="N3" s="8">
        <f t="shared" ref="N3:N66" si="1">INT(D3)</f>
        <v>46026</v>
      </c>
    </row>
    <row r="4" spans="1:14" x14ac:dyDescent="0.4">
      <c r="A4" t="s">
        <v>67</v>
      </c>
      <c r="B4">
        <v>122</v>
      </c>
      <c r="C4">
        <v>11</v>
      </c>
      <c r="D4" s="2">
        <v>46046.207638888889</v>
      </c>
      <c r="E4">
        <v>1499</v>
      </c>
      <c r="F4" t="s">
        <v>63</v>
      </c>
      <c r="G4" t="s">
        <v>64</v>
      </c>
      <c r="H4">
        <v>22</v>
      </c>
      <c r="I4" t="str">
        <f>IFERROR(VLOOKUP($C4,Merchants!$A$2:$D$41,2,FALSE),"Merchant not found")</f>
        <v>Merchant_011</v>
      </c>
      <c r="J4" t="str">
        <f>IFERROR(VLOOKUP($C4,Merchants!$A$2:$D$41,3,FALSE),"Merchant not found")</f>
        <v>ecommerce</v>
      </c>
      <c r="K4" t="str">
        <f>IFERROR(VLOOKUP($C4,Merchants!$A$2:$D$41,4,FALSE),"Merchant not found")</f>
        <v>North</v>
      </c>
      <c r="L4" s="3">
        <f>IFERROR(HLOOKUP(F4,Fee_Lookup!$B$1:$E$2,2,FALSE),"Method not found")</f>
        <v>7.4999999999999997E-3</v>
      </c>
      <c r="M4" s="6">
        <f t="shared" si="0"/>
        <v>11.2425</v>
      </c>
      <c r="N4" s="8">
        <f t="shared" si="1"/>
        <v>46046</v>
      </c>
    </row>
    <row r="5" spans="1:14" x14ac:dyDescent="0.4">
      <c r="A5" t="s">
        <v>68</v>
      </c>
      <c r="B5">
        <v>92</v>
      </c>
      <c r="C5">
        <v>22</v>
      </c>
      <c r="D5" s="2">
        <v>46051.542361111111</v>
      </c>
      <c r="E5">
        <v>49</v>
      </c>
      <c r="F5" t="s">
        <v>69</v>
      </c>
      <c r="G5" t="s">
        <v>64</v>
      </c>
      <c r="H5">
        <v>100</v>
      </c>
      <c r="I5" t="str">
        <f>IFERROR(VLOOKUP($C5,Merchants!$A$2:$D$41,2,FALSE),"Merchant not found")</f>
        <v>Merchant_022</v>
      </c>
      <c r="J5" t="str">
        <f>IFERROR(VLOOKUP($C5,Merchants!$A$2:$D$41,3,FALSE),"Merchant not found")</f>
        <v>travel</v>
      </c>
      <c r="K5" t="str">
        <f>IFERROR(VLOOKUP($C5,Merchants!$A$2:$D$41,4,FALSE),"Merchant not found")</f>
        <v>South</v>
      </c>
      <c r="L5" s="3">
        <f>IFERROR(HLOOKUP(F5,Fee_Lookup!$B$1:$E$2,2,FALSE),"Method not found")</f>
        <v>0.01</v>
      </c>
      <c r="M5" s="6">
        <f t="shared" si="0"/>
        <v>0.49</v>
      </c>
      <c r="N5" s="8">
        <f t="shared" si="1"/>
        <v>46051</v>
      </c>
    </row>
    <row r="6" spans="1:14" x14ac:dyDescent="0.4">
      <c r="A6" t="s">
        <v>70</v>
      </c>
      <c r="B6">
        <v>343</v>
      </c>
      <c r="C6">
        <v>16</v>
      </c>
      <c r="D6" s="2">
        <v>46052.57708333333</v>
      </c>
      <c r="E6">
        <v>99</v>
      </c>
      <c r="F6" t="s">
        <v>66</v>
      </c>
      <c r="G6" t="s">
        <v>64</v>
      </c>
      <c r="H6">
        <v>34</v>
      </c>
      <c r="I6" t="str">
        <f>IFERROR(VLOOKUP($C6,Merchants!$A$2:$D$41,2,FALSE),"Merchant not found")</f>
        <v>Merchant_016</v>
      </c>
      <c r="J6" t="str">
        <f>IFERROR(VLOOKUP($C6,Merchants!$A$2:$D$41,3,FALSE),"Merchant not found")</f>
        <v>bill_payment</v>
      </c>
      <c r="K6" t="str">
        <f>IFERROR(VLOOKUP($C6,Merchants!$A$2:$D$41,4,FALSE),"Merchant not found")</f>
        <v>West</v>
      </c>
      <c r="L6" s="3">
        <f>IFERROR(HLOOKUP(F6,Fee_Lookup!$B$1:$E$2,2,FALSE),"Method not found")</f>
        <v>5.0000000000000001E-3</v>
      </c>
      <c r="M6" s="6">
        <f t="shared" si="0"/>
        <v>0.495</v>
      </c>
      <c r="N6" s="8">
        <f t="shared" si="1"/>
        <v>46052</v>
      </c>
    </row>
    <row r="7" spans="1:14" x14ac:dyDescent="0.4">
      <c r="A7" t="s">
        <v>71</v>
      </c>
      <c r="B7">
        <v>196</v>
      </c>
      <c r="C7">
        <v>3</v>
      </c>
      <c r="D7" s="2">
        <v>46028.92083333333</v>
      </c>
      <c r="E7">
        <v>99</v>
      </c>
      <c r="F7" t="s">
        <v>66</v>
      </c>
      <c r="G7" t="s">
        <v>64</v>
      </c>
      <c r="H7">
        <v>60</v>
      </c>
      <c r="I7" t="str">
        <f>IFERROR(VLOOKUP($C7,Merchants!$A$2:$D$41,2,FALSE),"Merchant not found")</f>
        <v>Merchant_003</v>
      </c>
      <c r="J7" t="str">
        <f>IFERROR(VLOOKUP($C7,Merchants!$A$2:$D$41,3,FALSE),"Merchant not found")</f>
        <v>grocery</v>
      </c>
      <c r="K7" t="str">
        <f>IFERROR(VLOOKUP($C7,Merchants!$A$2:$D$41,4,FALSE),"Merchant not found")</f>
        <v>East</v>
      </c>
      <c r="L7" s="3">
        <f>IFERROR(HLOOKUP(F7,Fee_Lookup!$B$1:$E$2,2,FALSE),"Method not found")</f>
        <v>5.0000000000000001E-3</v>
      </c>
      <c r="M7" s="6">
        <f t="shared" si="0"/>
        <v>0.495</v>
      </c>
      <c r="N7" s="8">
        <f t="shared" si="1"/>
        <v>46028</v>
      </c>
    </row>
    <row r="8" spans="1:14" x14ac:dyDescent="0.4">
      <c r="A8" t="s">
        <v>72</v>
      </c>
      <c r="B8">
        <v>236</v>
      </c>
      <c r="C8">
        <v>23</v>
      </c>
      <c r="D8" s="2">
        <v>46030.286111111112</v>
      </c>
      <c r="E8">
        <v>99</v>
      </c>
      <c r="F8" t="s">
        <v>63</v>
      </c>
      <c r="G8" t="s">
        <v>64</v>
      </c>
      <c r="H8">
        <v>39</v>
      </c>
      <c r="I8" t="str">
        <f>IFERROR(VLOOKUP($C8,Merchants!$A$2:$D$41,2,FALSE),"Merchant not found")</f>
        <v>Merchant_023</v>
      </c>
      <c r="J8" t="str">
        <f>IFERROR(VLOOKUP($C8,Merchants!$A$2:$D$41,3,FALSE),"Merchant not found")</f>
        <v>travel</v>
      </c>
      <c r="K8" t="str">
        <f>IFERROR(VLOOKUP($C8,Merchants!$A$2:$D$41,4,FALSE),"Merchant not found")</f>
        <v>North</v>
      </c>
      <c r="L8" s="3">
        <f>IFERROR(HLOOKUP(F8,Fee_Lookup!$B$1:$E$2,2,FALSE),"Method not found")</f>
        <v>7.4999999999999997E-3</v>
      </c>
      <c r="M8" s="6">
        <f t="shared" si="0"/>
        <v>0.74249999999999994</v>
      </c>
      <c r="N8" s="8">
        <f t="shared" si="1"/>
        <v>46030</v>
      </c>
    </row>
    <row r="9" spans="1:14" x14ac:dyDescent="0.4">
      <c r="A9" t="s">
        <v>73</v>
      </c>
      <c r="B9">
        <v>13</v>
      </c>
      <c r="C9">
        <v>13</v>
      </c>
      <c r="D9" s="2">
        <v>46049.301388888889</v>
      </c>
      <c r="E9">
        <v>99</v>
      </c>
      <c r="F9" t="s">
        <v>66</v>
      </c>
      <c r="G9" t="s">
        <v>64</v>
      </c>
      <c r="H9">
        <v>51</v>
      </c>
      <c r="I9" t="str">
        <f>IFERROR(VLOOKUP($C9,Merchants!$A$2:$D$41,2,FALSE),"Merchant not found")</f>
        <v>Merchant_013</v>
      </c>
      <c r="J9" t="str">
        <f>IFERROR(VLOOKUP($C9,Merchants!$A$2:$D$41,3,FALSE),"Merchant not found")</f>
        <v>travel</v>
      </c>
      <c r="K9" t="str">
        <f>IFERROR(VLOOKUP($C9,Merchants!$A$2:$D$41,4,FALSE),"Merchant not found")</f>
        <v>East</v>
      </c>
      <c r="L9" s="3">
        <f>IFERROR(HLOOKUP(F9,Fee_Lookup!$B$1:$E$2,2,FALSE),"Method not found")</f>
        <v>5.0000000000000001E-3</v>
      </c>
      <c r="M9" s="6">
        <f t="shared" si="0"/>
        <v>0.495</v>
      </c>
      <c r="N9" s="8">
        <f t="shared" si="1"/>
        <v>46049</v>
      </c>
    </row>
    <row r="10" spans="1:14" x14ac:dyDescent="0.4">
      <c r="A10" t="s">
        <v>74</v>
      </c>
      <c r="B10">
        <v>36</v>
      </c>
      <c r="C10">
        <v>18</v>
      </c>
      <c r="D10" s="2">
        <v>46033.371527777781</v>
      </c>
      <c r="E10">
        <v>799</v>
      </c>
      <c r="F10" t="s">
        <v>66</v>
      </c>
      <c r="G10" t="s">
        <v>64</v>
      </c>
      <c r="H10">
        <v>44</v>
      </c>
      <c r="I10" t="str">
        <f>IFERROR(VLOOKUP($C10,Merchants!$A$2:$D$41,2,FALSE),"Merchant not found")</f>
        <v>Merchant_018</v>
      </c>
      <c r="J10" t="str">
        <f>IFERROR(VLOOKUP($C10,Merchants!$A$2:$D$41,3,FALSE),"Merchant not found")</f>
        <v>grocery</v>
      </c>
      <c r="K10" t="str">
        <f>IFERROR(VLOOKUP($C10,Merchants!$A$2:$D$41,4,FALSE),"Merchant not found")</f>
        <v>West</v>
      </c>
      <c r="L10" s="3">
        <f>IFERROR(HLOOKUP(F10,Fee_Lookup!$B$1:$E$2,2,FALSE),"Method not found")</f>
        <v>5.0000000000000001E-3</v>
      </c>
      <c r="M10" s="6">
        <f t="shared" si="0"/>
        <v>3.9950000000000001</v>
      </c>
      <c r="N10" s="8">
        <f t="shared" si="1"/>
        <v>46033</v>
      </c>
    </row>
    <row r="11" spans="1:14" x14ac:dyDescent="0.4">
      <c r="A11" t="s">
        <v>75</v>
      </c>
      <c r="B11">
        <v>348</v>
      </c>
      <c r="C11">
        <v>35</v>
      </c>
      <c r="D11" s="2">
        <v>46043.684027777781</v>
      </c>
      <c r="E11">
        <v>299</v>
      </c>
      <c r="F11" t="s">
        <v>66</v>
      </c>
      <c r="G11" t="s">
        <v>64</v>
      </c>
      <c r="H11">
        <v>42</v>
      </c>
      <c r="I11" t="str">
        <f>IFERROR(VLOOKUP($C11,Merchants!$A$2:$D$41,2,FALSE),"Merchant not found")</f>
        <v>Merchant_035</v>
      </c>
      <c r="J11" t="str">
        <f>IFERROR(VLOOKUP($C11,Merchants!$A$2:$D$41,3,FALSE),"Merchant not found")</f>
        <v>recharge</v>
      </c>
      <c r="K11" t="str">
        <f>IFERROR(VLOOKUP($C11,Merchants!$A$2:$D$41,4,FALSE),"Merchant not found")</f>
        <v>East</v>
      </c>
      <c r="L11" s="3">
        <f>IFERROR(HLOOKUP(F11,Fee_Lookup!$B$1:$E$2,2,FALSE),"Method not found")</f>
        <v>5.0000000000000001E-3</v>
      </c>
      <c r="M11" s="6">
        <f t="shared" si="0"/>
        <v>1.4950000000000001</v>
      </c>
      <c r="N11" s="8">
        <f t="shared" si="1"/>
        <v>46043</v>
      </c>
    </row>
    <row r="12" spans="1:14" x14ac:dyDescent="0.4">
      <c r="A12" t="s">
        <v>76</v>
      </c>
      <c r="B12">
        <v>134</v>
      </c>
      <c r="C12">
        <v>12</v>
      </c>
      <c r="D12" s="2">
        <v>46023.163888888892</v>
      </c>
      <c r="E12">
        <v>49</v>
      </c>
      <c r="F12" t="s">
        <v>66</v>
      </c>
      <c r="G12" t="s">
        <v>64</v>
      </c>
      <c r="H12">
        <v>74</v>
      </c>
      <c r="I12" t="str">
        <f>IFERROR(VLOOKUP($C12,Merchants!$A$2:$D$41,2,FALSE),"Merchant not found")</f>
        <v>Merchant_012</v>
      </c>
      <c r="J12" t="str">
        <f>IFERROR(VLOOKUP($C12,Merchants!$A$2:$D$41,3,FALSE),"Merchant not found")</f>
        <v>ecommerce</v>
      </c>
      <c r="K12" t="str">
        <f>IFERROR(VLOOKUP($C12,Merchants!$A$2:$D$41,4,FALSE),"Merchant not found")</f>
        <v>East</v>
      </c>
      <c r="L12" s="3">
        <f>IFERROR(HLOOKUP(F12,Fee_Lookup!$B$1:$E$2,2,FALSE),"Method not found")</f>
        <v>5.0000000000000001E-3</v>
      </c>
      <c r="M12" s="6">
        <f t="shared" si="0"/>
        <v>0.245</v>
      </c>
      <c r="N12" s="8">
        <f t="shared" si="1"/>
        <v>46023</v>
      </c>
    </row>
    <row r="13" spans="1:14" x14ac:dyDescent="0.4">
      <c r="A13" t="s">
        <v>77</v>
      </c>
      <c r="B13">
        <v>306</v>
      </c>
      <c r="C13">
        <v>28</v>
      </c>
      <c r="D13" s="2">
        <v>46031.04583333333</v>
      </c>
      <c r="E13">
        <v>2999</v>
      </c>
      <c r="F13" t="s">
        <v>78</v>
      </c>
      <c r="G13" t="s">
        <v>79</v>
      </c>
      <c r="H13">
        <v>44</v>
      </c>
      <c r="I13" t="str">
        <f>IFERROR(VLOOKUP($C13,Merchants!$A$2:$D$41,2,FALSE),"Merchant not found")</f>
        <v>Merchant_028</v>
      </c>
      <c r="J13" t="str">
        <f>IFERROR(VLOOKUP($C13,Merchants!$A$2:$D$41,3,FALSE),"Merchant not found")</f>
        <v>ecommerce</v>
      </c>
      <c r="K13" t="str">
        <f>IFERROR(VLOOKUP($C13,Merchants!$A$2:$D$41,4,FALSE),"Merchant not found")</f>
        <v>South</v>
      </c>
      <c r="L13" s="3">
        <f>IFERROR(HLOOKUP(F13,Fee_Lookup!$B$1:$E$2,2,FALSE),"Method not found")</f>
        <v>1.2E-2</v>
      </c>
      <c r="M13" s="6">
        <f t="shared" si="0"/>
        <v>35.988</v>
      </c>
      <c r="N13" s="8">
        <f t="shared" si="1"/>
        <v>46031</v>
      </c>
    </row>
    <row r="14" spans="1:14" x14ac:dyDescent="0.4">
      <c r="A14" t="s">
        <v>80</v>
      </c>
      <c r="B14">
        <v>311</v>
      </c>
      <c r="C14">
        <v>33</v>
      </c>
      <c r="D14" s="2">
        <v>46046.435416666667</v>
      </c>
      <c r="E14">
        <v>49</v>
      </c>
      <c r="F14" t="s">
        <v>63</v>
      </c>
      <c r="G14" t="s">
        <v>64</v>
      </c>
      <c r="H14">
        <v>14</v>
      </c>
      <c r="I14" t="str">
        <f>IFERROR(VLOOKUP($C14,Merchants!$A$2:$D$41,2,FALSE),"Merchant not found")</f>
        <v>Merchant_033</v>
      </c>
      <c r="J14" t="str">
        <f>IFERROR(VLOOKUP($C14,Merchants!$A$2:$D$41,3,FALSE),"Merchant not found")</f>
        <v>bill_payment</v>
      </c>
      <c r="K14" t="str">
        <f>IFERROR(VLOOKUP($C14,Merchants!$A$2:$D$41,4,FALSE),"Merchant not found")</f>
        <v>East</v>
      </c>
      <c r="L14" s="3">
        <f>IFERROR(HLOOKUP(F14,Fee_Lookup!$B$1:$E$2,2,FALSE),"Method not found")</f>
        <v>7.4999999999999997E-3</v>
      </c>
      <c r="M14" s="6">
        <f t="shared" si="0"/>
        <v>0.36749999999999999</v>
      </c>
      <c r="N14" s="8">
        <f t="shared" si="1"/>
        <v>46046</v>
      </c>
    </row>
    <row r="15" spans="1:14" x14ac:dyDescent="0.4">
      <c r="A15" t="s">
        <v>81</v>
      </c>
      <c r="B15">
        <v>131</v>
      </c>
      <c r="C15">
        <v>3</v>
      </c>
      <c r="D15" s="2">
        <v>46035.758333333331</v>
      </c>
      <c r="E15">
        <v>49</v>
      </c>
      <c r="F15" t="s">
        <v>66</v>
      </c>
      <c r="G15" t="s">
        <v>64</v>
      </c>
      <c r="H15">
        <v>90</v>
      </c>
      <c r="I15" t="str">
        <f>IFERROR(VLOOKUP($C15,Merchants!$A$2:$D$41,2,FALSE),"Merchant not found")</f>
        <v>Merchant_003</v>
      </c>
      <c r="J15" t="str">
        <f>IFERROR(VLOOKUP($C15,Merchants!$A$2:$D$41,3,FALSE),"Merchant not found")</f>
        <v>grocery</v>
      </c>
      <c r="K15" t="str">
        <f>IFERROR(VLOOKUP($C15,Merchants!$A$2:$D$41,4,FALSE),"Merchant not found")</f>
        <v>East</v>
      </c>
      <c r="L15" s="3">
        <f>IFERROR(HLOOKUP(F15,Fee_Lookup!$B$1:$E$2,2,FALSE),"Method not found")</f>
        <v>5.0000000000000001E-3</v>
      </c>
      <c r="M15" s="6">
        <f t="shared" si="0"/>
        <v>0.245</v>
      </c>
      <c r="N15" s="8">
        <f t="shared" si="1"/>
        <v>46035</v>
      </c>
    </row>
    <row r="16" spans="1:14" x14ac:dyDescent="0.4">
      <c r="A16" t="s">
        <v>82</v>
      </c>
      <c r="B16">
        <v>276</v>
      </c>
      <c r="C16">
        <v>13</v>
      </c>
      <c r="D16" s="2">
        <v>46036.022916666669</v>
      </c>
      <c r="E16">
        <v>1499</v>
      </c>
      <c r="F16" t="s">
        <v>66</v>
      </c>
      <c r="G16" t="s">
        <v>64</v>
      </c>
      <c r="H16">
        <v>46</v>
      </c>
      <c r="I16" t="str">
        <f>IFERROR(VLOOKUP($C16,Merchants!$A$2:$D$41,2,FALSE),"Merchant not found")</f>
        <v>Merchant_013</v>
      </c>
      <c r="J16" t="str">
        <f>IFERROR(VLOOKUP($C16,Merchants!$A$2:$D$41,3,FALSE),"Merchant not found")</f>
        <v>travel</v>
      </c>
      <c r="K16" t="str">
        <f>IFERROR(VLOOKUP($C16,Merchants!$A$2:$D$41,4,FALSE),"Merchant not found")</f>
        <v>East</v>
      </c>
      <c r="L16" s="3">
        <f>IFERROR(HLOOKUP(F16,Fee_Lookup!$B$1:$E$2,2,FALSE),"Method not found")</f>
        <v>5.0000000000000001E-3</v>
      </c>
      <c r="M16" s="6">
        <f t="shared" si="0"/>
        <v>7.4950000000000001</v>
      </c>
      <c r="N16" s="8">
        <f t="shared" si="1"/>
        <v>46036</v>
      </c>
    </row>
    <row r="17" spans="1:14" x14ac:dyDescent="0.4">
      <c r="A17" t="s">
        <v>83</v>
      </c>
      <c r="B17">
        <v>170</v>
      </c>
      <c r="C17">
        <v>40</v>
      </c>
      <c r="D17" s="2">
        <v>46036.112500000003</v>
      </c>
      <c r="E17">
        <v>99</v>
      </c>
      <c r="F17" t="s">
        <v>66</v>
      </c>
      <c r="G17" t="s">
        <v>64</v>
      </c>
      <c r="H17">
        <v>40</v>
      </c>
      <c r="I17" t="str">
        <f>IFERROR(VLOOKUP($C17,Merchants!$A$2:$D$41,2,FALSE),"Merchant not found")</f>
        <v>Merchant_040</v>
      </c>
      <c r="J17" t="str">
        <f>IFERROR(VLOOKUP($C17,Merchants!$A$2:$D$41,3,FALSE),"Merchant not found")</f>
        <v>entertainment</v>
      </c>
      <c r="K17" t="str">
        <f>IFERROR(VLOOKUP($C17,Merchants!$A$2:$D$41,4,FALSE),"Merchant not found")</f>
        <v>South</v>
      </c>
      <c r="L17" s="3">
        <f>IFERROR(HLOOKUP(F17,Fee_Lookup!$B$1:$E$2,2,FALSE),"Method not found")</f>
        <v>5.0000000000000001E-3</v>
      </c>
      <c r="M17" s="6">
        <f t="shared" si="0"/>
        <v>0.495</v>
      </c>
      <c r="N17" s="8">
        <f t="shared" si="1"/>
        <v>46036</v>
      </c>
    </row>
    <row r="18" spans="1:14" x14ac:dyDescent="0.4">
      <c r="A18" t="s">
        <v>84</v>
      </c>
      <c r="B18">
        <v>154</v>
      </c>
      <c r="C18">
        <v>33</v>
      </c>
      <c r="D18" s="2">
        <v>46044.156944444447</v>
      </c>
      <c r="E18">
        <v>99</v>
      </c>
      <c r="F18" t="s">
        <v>69</v>
      </c>
      <c r="G18" t="s">
        <v>64</v>
      </c>
      <c r="H18">
        <v>39</v>
      </c>
      <c r="I18" t="str">
        <f>IFERROR(VLOOKUP($C18,Merchants!$A$2:$D$41,2,FALSE),"Merchant not found")</f>
        <v>Merchant_033</v>
      </c>
      <c r="J18" t="str">
        <f>IFERROR(VLOOKUP($C18,Merchants!$A$2:$D$41,3,FALSE),"Merchant not found")</f>
        <v>bill_payment</v>
      </c>
      <c r="K18" t="str">
        <f>IFERROR(VLOOKUP($C18,Merchants!$A$2:$D$41,4,FALSE),"Merchant not found")</f>
        <v>East</v>
      </c>
      <c r="L18" s="3">
        <f>IFERROR(HLOOKUP(F18,Fee_Lookup!$B$1:$E$2,2,FALSE),"Method not found")</f>
        <v>0.01</v>
      </c>
      <c r="M18" s="6">
        <f t="shared" si="0"/>
        <v>0.99</v>
      </c>
      <c r="N18" s="8">
        <f t="shared" si="1"/>
        <v>46044</v>
      </c>
    </row>
    <row r="19" spans="1:14" x14ac:dyDescent="0.4">
      <c r="A19" t="s">
        <v>85</v>
      </c>
      <c r="B19">
        <v>207</v>
      </c>
      <c r="C19">
        <v>19</v>
      </c>
      <c r="D19" s="2">
        <v>46044.555555555555</v>
      </c>
      <c r="E19">
        <v>2999</v>
      </c>
      <c r="F19" t="s">
        <v>78</v>
      </c>
      <c r="G19" t="s">
        <v>64</v>
      </c>
      <c r="H19">
        <v>70</v>
      </c>
      <c r="I19" t="str">
        <f>IFERROR(VLOOKUP($C19,Merchants!$A$2:$D$41,2,FALSE),"Merchant not found")</f>
        <v>Merchant_019</v>
      </c>
      <c r="J19" t="str">
        <f>IFERROR(VLOOKUP($C19,Merchants!$A$2:$D$41,3,FALSE),"Merchant not found")</f>
        <v>grocery</v>
      </c>
      <c r="K19" t="str">
        <f>IFERROR(VLOOKUP($C19,Merchants!$A$2:$D$41,4,FALSE),"Merchant not found")</f>
        <v>North</v>
      </c>
      <c r="L19" s="3">
        <f>IFERROR(HLOOKUP(F19,Fee_Lookup!$B$1:$E$2,2,FALSE),"Method not found")</f>
        <v>1.2E-2</v>
      </c>
      <c r="M19" s="6">
        <f t="shared" si="0"/>
        <v>35.988</v>
      </c>
      <c r="N19" s="8">
        <f t="shared" si="1"/>
        <v>46044</v>
      </c>
    </row>
    <row r="20" spans="1:14" x14ac:dyDescent="0.4">
      <c r="A20" t="s">
        <v>86</v>
      </c>
      <c r="B20">
        <v>341</v>
      </c>
      <c r="C20">
        <v>25</v>
      </c>
      <c r="D20" s="2">
        <v>46027.268055555556</v>
      </c>
      <c r="E20">
        <v>2999</v>
      </c>
      <c r="F20" t="s">
        <v>66</v>
      </c>
      <c r="G20" t="s">
        <v>64</v>
      </c>
      <c r="H20">
        <v>86</v>
      </c>
      <c r="I20" t="str">
        <f>IFERROR(VLOOKUP($C20,Merchants!$A$2:$D$41,2,FALSE),"Merchant not found")</f>
        <v>Merchant_025</v>
      </c>
      <c r="J20" t="str">
        <f>IFERROR(VLOOKUP($C20,Merchants!$A$2:$D$41,3,FALSE),"Merchant not found")</f>
        <v>travel</v>
      </c>
      <c r="K20" t="str">
        <f>IFERROR(VLOOKUP($C20,Merchants!$A$2:$D$41,4,FALSE),"Merchant not found")</f>
        <v>South</v>
      </c>
      <c r="L20" s="3">
        <f>IFERROR(HLOOKUP(F20,Fee_Lookup!$B$1:$E$2,2,FALSE),"Method not found")</f>
        <v>5.0000000000000001E-3</v>
      </c>
      <c r="M20" s="6">
        <f t="shared" si="0"/>
        <v>14.995000000000001</v>
      </c>
      <c r="N20" s="8">
        <f t="shared" si="1"/>
        <v>46027</v>
      </c>
    </row>
    <row r="21" spans="1:14" x14ac:dyDescent="0.4">
      <c r="A21" t="s">
        <v>87</v>
      </c>
      <c r="B21">
        <v>292</v>
      </c>
      <c r="C21">
        <v>20</v>
      </c>
      <c r="D21" s="2">
        <v>46046.23541666667</v>
      </c>
      <c r="E21">
        <v>49</v>
      </c>
      <c r="F21" t="s">
        <v>66</v>
      </c>
      <c r="G21" t="s">
        <v>64</v>
      </c>
      <c r="H21">
        <v>51</v>
      </c>
      <c r="I21" t="str">
        <f>IFERROR(VLOOKUP($C21,Merchants!$A$2:$D$41,2,FALSE),"Merchant not found")</f>
        <v>Merchant_020</v>
      </c>
      <c r="J21" t="str">
        <f>IFERROR(VLOOKUP($C21,Merchants!$A$2:$D$41,3,FALSE),"Merchant not found")</f>
        <v>food_delivery</v>
      </c>
      <c r="K21" t="str">
        <f>IFERROR(VLOOKUP($C21,Merchants!$A$2:$D$41,4,FALSE),"Merchant not found")</f>
        <v>East</v>
      </c>
      <c r="L21" s="3">
        <f>IFERROR(HLOOKUP(F21,Fee_Lookup!$B$1:$E$2,2,FALSE),"Method not found")</f>
        <v>5.0000000000000001E-3</v>
      </c>
      <c r="M21" s="6">
        <f t="shared" si="0"/>
        <v>0.245</v>
      </c>
      <c r="N21" s="8">
        <f t="shared" si="1"/>
        <v>46046</v>
      </c>
    </row>
    <row r="22" spans="1:14" x14ac:dyDescent="0.4">
      <c r="A22" t="s">
        <v>88</v>
      </c>
      <c r="B22">
        <v>147</v>
      </c>
      <c r="C22">
        <v>14</v>
      </c>
      <c r="D22" s="2">
        <v>46040.013194444444</v>
      </c>
      <c r="E22">
        <v>99</v>
      </c>
      <c r="F22" t="s">
        <v>78</v>
      </c>
      <c r="G22" t="s">
        <v>64</v>
      </c>
      <c r="H22">
        <v>55</v>
      </c>
      <c r="I22" t="str">
        <f>IFERROR(VLOOKUP($C22,Merchants!$A$2:$D$41,2,FALSE),"Merchant not found")</f>
        <v>Merchant_014</v>
      </c>
      <c r="J22" t="str">
        <f>IFERROR(VLOOKUP($C22,Merchants!$A$2:$D$41,3,FALSE),"Merchant not found")</f>
        <v>grocery</v>
      </c>
      <c r="K22" t="str">
        <f>IFERROR(VLOOKUP($C22,Merchants!$A$2:$D$41,4,FALSE),"Merchant not found")</f>
        <v>East</v>
      </c>
      <c r="L22" s="3">
        <f>IFERROR(HLOOKUP(F22,Fee_Lookup!$B$1:$E$2,2,FALSE),"Method not found")</f>
        <v>1.2E-2</v>
      </c>
      <c r="M22" s="6">
        <f t="shared" si="0"/>
        <v>1.1879999999999999</v>
      </c>
      <c r="N22" s="8">
        <f t="shared" si="1"/>
        <v>46040</v>
      </c>
    </row>
    <row r="23" spans="1:14" x14ac:dyDescent="0.4">
      <c r="A23" t="s">
        <v>89</v>
      </c>
      <c r="B23">
        <v>336</v>
      </c>
      <c r="C23">
        <v>21</v>
      </c>
      <c r="D23" s="2">
        <v>46048.776388888888</v>
      </c>
      <c r="E23">
        <v>99</v>
      </c>
      <c r="F23" t="s">
        <v>66</v>
      </c>
      <c r="G23" t="s">
        <v>64</v>
      </c>
      <c r="H23">
        <v>59</v>
      </c>
      <c r="I23" t="str">
        <f>IFERROR(VLOOKUP($C23,Merchants!$A$2:$D$41,2,FALSE),"Merchant not found")</f>
        <v>Merchant_021</v>
      </c>
      <c r="J23" t="str">
        <f>IFERROR(VLOOKUP($C23,Merchants!$A$2:$D$41,3,FALSE),"Merchant not found")</f>
        <v>food_delivery</v>
      </c>
      <c r="K23" t="str">
        <f>IFERROR(VLOOKUP($C23,Merchants!$A$2:$D$41,4,FALSE),"Merchant not found")</f>
        <v>East</v>
      </c>
      <c r="L23" s="3">
        <f>IFERROR(HLOOKUP(F23,Fee_Lookup!$B$1:$E$2,2,FALSE),"Method not found")</f>
        <v>5.0000000000000001E-3</v>
      </c>
      <c r="M23" s="6">
        <f t="shared" si="0"/>
        <v>0.495</v>
      </c>
      <c r="N23" s="8">
        <f t="shared" si="1"/>
        <v>46048</v>
      </c>
    </row>
    <row r="24" spans="1:14" x14ac:dyDescent="0.4">
      <c r="A24" t="s">
        <v>90</v>
      </c>
      <c r="B24">
        <v>110</v>
      </c>
      <c r="C24">
        <v>33</v>
      </c>
      <c r="D24" s="2">
        <v>46037.613194444442</v>
      </c>
      <c r="E24">
        <v>799</v>
      </c>
      <c r="F24" t="s">
        <v>66</v>
      </c>
      <c r="G24" t="s">
        <v>64</v>
      </c>
      <c r="H24">
        <v>60</v>
      </c>
      <c r="I24" t="str">
        <f>IFERROR(VLOOKUP($C24,Merchants!$A$2:$D$41,2,FALSE),"Merchant not found")</f>
        <v>Merchant_033</v>
      </c>
      <c r="J24" t="str">
        <f>IFERROR(VLOOKUP($C24,Merchants!$A$2:$D$41,3,FALSE),"Merchant not found")</f>
        <v>bill_payment</v>
      </c>
      <c r="K24" t="str">
        <f>IFERROR(VLOOKUP($C24,Merchants!$A$2:$D$41,4,FALSE),"Merchant not found")</f>
        <v>East</v>
      </c>
      <c r="L24" s="3">
        <f>IFERROR(HLOOKUP(F24,Fee_Lookup!$B$1:$E$2,2,FALSE),"Method not found")</f>
        <v>5.0000000000000001E-3</v>
      </c>
      <c r="M24" s="6">
        <f t="shared" si="0"/>
        <v>3.9950000000000001</v>
      </c>
      <c r="N24" s="8">
        <f t="shared" si="1"/>
        <v>46037</v>
      </c>
    </row>
    <row r="25" spans="1:14" x14ac:dyDescent="0.4">
      <c r="A25" t="s">
        <v>91</v>
      </c>
      <c r="B25">
        <v>338</v>
      </c>
      <c r="C25">
        <v>6</v>
      </c>
      <c r="D25" s="2">
        <v>46048.965277777781</v>
      </c>
      <c r="E25">
        <v>799</v>
      </c>
      <c r="F25" t="s">
        <v>66</v>
      </c>
      <c r="G25" t="s">
        <v>92</v>
      </c>
      <c r="H25">
        <v>36</v>
      </c>
      <c r="I25" t="str">
        <f>IFERROR(VLOOKUP($C25,Merchants!$A$2:$D$41,2,FALSE),"Merchant not found")</f>
        <v>Merchant_006</v>
      </c>
      <c r="J25" t="str">
        <f>IFERROR(VLOOKUP($C25,Merchants!$A$2:$D$41,3,FALSE),"Merchant not found")</f>
        <v>food_delivery</v>
      </c>
      <c r="K25" t="str">
        <f>IFERROR(VLOOKUP($C25,Merchants!$A$2:$D$41,4,FALSE),"Merchant not found")</f>
        <v>South</v>
      </c>
      <c r="L25" s="3">
        <f>IFERROR(HLOOKUP(F25,Fee_Lookup!$B$1:$E$2,2,FALSE),"Method not found")</f>
        <v>5.0000000000000001E-3</v>
      </c>
      <c r="M25" s="6">
        <f t="shared" si="0"/>
        <v>3.9950000000000001</v>
      </c>
      <c r="N25" s="8">
        <f t="shared" si="1"/>
        <v>46048</v>
      </c>
    </row>
    <row r="26" spans="1:14" x14ac:dyDescent="0.4">
      <c r="A26" t="s">
        <v>93</v>
      </c>
      <c r="B26">
        <v>318</v>
      </c>
      <c r="C26">
        <v>22</v>
      </c>
      <c r="D26" s="2">
        <v>46039.902777777781</v>
      </c>
      <c r="E26">
        <v>799</v>
      </c>
      <c r="F26" t="s">
        <v>63</v>
      </c>
      <c r="G26" t="s">
        <v>64</v>
      </c>
      <c r="H26">
        <v>11</v>
      </c>
      <c r="I26" t="str">
        <f>IFERROR(VLOOKUP($C26,Merchants!$A$2:$D$41,2,FALSE),"Merchant not found")</f>
        <v>Merchant_022</v>
      </c>
      <c r="J26" t="str">
        <f>IFERROR(VLOOKUP($C26,Merchants!$A$2:$D$41,3,FALSE),"Merchant not found")</f>
        <v>travel</v>
      </c>
      <c r="K26" t="str">
        <f>IFERROR(VLOOKUP($C26,Merchants!$A$2:$D$41,4,FALSE),"Merchant not found")</f>
        <v>South</v>
      </c>
      <c r="L26" s="3">
        <f>IFERROR(HLOOKUP(F26,Fee_Lookup!$B$1:$E$2,2,FALSE),"Method not found")</f>
        <v>7.4999999999999997E-3</v>
      </c>
      <c r="M26" s="6">
        <f t="shared" si="0"/>
        <v>5.9924999999999997</v>
      </c>
      <c r="N26" s="8">
        <f t="shared" si="1"/>
        <v>46039</v>
      </c>
    </row>
    <row r="27" spans="1:14" x14ac:dyDescent="0.4">
      <c r="A27" t="s">
        <v>94</v>
      </c>
      <c r="B27">
        <v>159</v>
      </c>
      <c r="C27">
        <v>15</v>
      </c>
      <c r="D27" s="2">
        <v>46049.321527777778</v>
      </c>
      <c r="E27">
        <v>799</v>
      </c>
      <c r="F27" t="s">
        <v>66</v>
      </c>
      <c r="G27" t="s">
        <v>64</v>
      </c>
      <c r="H27">
        <v>25</v>
      </c>
      <c r="I27" t="str">
        <f>IFERROR(VLOOKUP($C27,Merchants!$A$2:$D$41,2,FALSE),"Merchant not found")</f>
        <v>Merchant_015</v>
      </c>
      <c r="J27" t="str">
        <f>IFERROR(VLOOKUP($C27,Merchants!$A$2:$D$41,3,FALSE),"Merchant not found")</f>
        <v>travel</v>
      </c>
      <c r="K27" t="str">
        <f>IFERROR(VLOOKUP($C27,Merchants!$A$2:$D$41,4,FALSE),"Merchant not found")</f>
        <v>North</v>
      </c>
      <c r="L27" s="3">
        <f>IFERROR(HLOOKUP(F27,Fee_Lookup!$B$1:$E$2,2,FALSE),"Method not found")</f>
        <v>5.0000000000000001E-3</v>
      </c>
      <c r="M27" s="6">
        <f t="shared" si="0"/>
        <v>3.9950000000000001</v>
      </c>
      <c r="N27" s="8">
        <f t="shared" si="1"/>
        <v>46049</v>
      </c>
    </row>
    <row r="28" spans="1:14" x14ac:dyDescent="0.4">
      <c r="A28" t="s">
        <v>95</v>
      </c>
      <c r="B28">
        <v>126</v>
      </c>
      <c r="C28">
        <v>31</v>
      </c>
      <c r="D28" s="2">
        <v>46027.001388888886</v>
      </c>
      <c r="E28">
        <v>49</v>
      </c>
      <c r="F28" t="s">
        <v>78</v>
      </c>
      <c r="G28" t="s">
        <v>64</v>
      </c>
      <c r="H28">
        <v>78</v>
      </c>
      <c r="I28" t="str">
        <f>IFERROR(VLOOKUP($C28,Merchants!$A$2:$D$41,2,FALSE),"Merchant not found")</f>
        <v>Merchant_031</v>
      </c>
      <c r="J28" t="str">
        <f>IFERROR(VLOOKUP($C28,Merchants!$A$2:$D$41,3,FALSE),"Merchant not found")</f>
        <v>bill_payment</v>
      </c>
      <c r="K28" t="str">
        <f>IFERROR(VLOOKUP($C28,Merchants!$A$2:$D$41,4,FALSE),"Merchant not found")</f>
        <v>East</v>
      </c>
      <c r="L28" s="3">
        <f>IFERROR(HLOOKUP(F28,Fee_Lookup!$B$1:$E$2,2,FALSE),"Method not found")</f>
        <v>1.2E-2</v>
      </c>
      <c r="M28" s="6">
        <f t="shared" si="0"/>
        <v>0.58799999999999997</v>
      </c>
      <c r="N28" s="8">
        <f t="shared" si="1"/>
        <v>46027</v>
      </c>
    </row>
    <row r="29" spans="1:14" x14ac:dyDescent="0.4">
      <c r="A29" t="s">
        <v>96</v>
      </c>
      <c r="B29">
        <v>213</v>
      </c>
      <c r="C29">
        <v>37</v>
      </c>
      <c r="D29" s="2">
        <v>46050.103472222225</v>
      </c>
      <c r="E29">
        <v>99</v>
      </c>
      <c r="F29" t="s">
        <v>66</v>
      </c>
      <c r="G29" t="s">
        <v>64</v>
      </c>
      <c r="H29">
        <v>24</v>
      </c>
      <c r="I29" t="str">
        <f>IFERROR(VLOOKUP($C29,Merchants!$A$2:$D$41,2,FALSE),"Merchant not found")</f>
        <v>Merchant_037</v>
      </c>
      <c r="J29" t="str">
        <f>IFERROR(VLOOKUP($C29,Merchants!$A$2:$D$41,3,FALSE),"Merchant not found")</f>
        <v>entertainment</v>
      </c>
      <c r="K29" t="str">
        <f>IFERROR(VLOOKUP($C29,Merchants!$A$2:$D$41,4,FALSE),"Merchant not found")</f>
        <v>South</v>
      </c>
      <c r="L29" s="3">
        <f>IFERROR(HLOOKUP(F29,Fee_Lookup!$B$1:$E$2,2,FALSE),"Method not found")</f>
        <v>5.0000000000000001E-3</v>
      </c>
      <c r="M29" s="6">
        <f t="shared" si="0"/>
        <v>0.495</v>
      </c>
      <c r="N29" s="8">
        <f t="shared" si="1"/>
        <v>46050</v>
      </c>
    </row>
    <row r="30" spans="1:14" x14ac:dyDescent="0.4">
      <c r="A30" t="s">
        <v>97</v>
      </c>
      <c r="B30">
        <v>254</v>
      </c>
      <c r="C30">
        <v>26</v>
      </c>
      <c r="D30" s="2">
        <v>46045.933333333334</v>
      </c>
      <c r="E30">
        <v>99</v>
      </c>
      <c r="F30" t="s">
        <v>63</v>
      </c>
      <c r="G30" t="s">
        <v>64</v>
      </c>
      <c r="H30">
        <v>31</v>
      </c>
      <c r="I30" t="str">
        <f>IFERROR(VLOOKUP($C30,Merchants!$A$2:$D$41,2,FALSE),"Merchant not found")</f>
        <v>Merchant_026</v>
      </c>
      <c r="J30" t="str">
        <f>IFERROR(VLOOKUP($C30,Merchants!$A$2:$D$41,3,FALSE),"Merchant not found")</f>
        <v>food_delivery</v>
      </c>
      <c r="K30" t="str">
        <f>IFERROR(VLOOKUP($C30,Merchants!$A$2:$D$41,4,FALSE),"Merchant not found")</f>
        <v>East</v>
      </c>
      <c r="L30" s="3">
        <f>IFERROR(HLOOKUP(F30,Fee_Lookup!$B$1:$E$2,2,FALSE),"Method not found")</f>
        <v>7.4999999999999997E-3</v>
      </c>
      <c r="M30" s="6">
        <f t="shared" si="0"/>
        <v>0.74249999999999994</v>
      </c>
      <c r="N30" s="8">
        <f t="shared" si="1"/>
        <v>46045</v>
      </c>
    </row>
    <row r="31" spans="1:14" x14ac:dyDescent="0.4">
      <c r="A31" t="s">
        <v>98</v>
      </c>
      <c r="B31">
        <v>3</v>
      </c>
      <c r="C31">
        <v>7</v>
      </c>
      <c r="D31" s="2">
        <v>46027.863888888889</v>
      </c>
      <c r="E31">
        <v>1499</v>
      </c>
      <c r="F31" t="s">
        <v>66</v>
      </c>
      <c r="G31" t="s">
        <v>64</v>
      </c>
      <c r="H31">
        <v>99</v>
      </c>
      <c r="I31" t="str">
        <f>IFERROR(VLOOKUP($C31,Merchants!$A$2:$D$41,2,FALSE),"Merchant not found")</f>
        <v>Merchant_007</v>
      </c>
      <c r="J31" t="str">
        <f>IFERROR(VLOOKUP($C31,Merchants!$A$2:$D$41,3,FALSE),"Merchant not found")</f>
        <v>food_delivery</v>
      </c>
      <c r="K31" t="str">
        <f>IFERROR(VLOOKUP($C31,Merchants!$A$2:$D$41,4,FALSE),"Merchant not found")</f>
        <v>East</v>
      </c>
      <c r="L31" s="3">
        <f>IFERROR(HLOOKUP(F31,Fee_Lookup!$B$1:$E$2,2,FALSE),"Method not found")</f>
        <v>5.0000000000000001E-3</v>
      </c>
      <c r="M31" s="6">
        <f t="shared" si="0"/>
        <v>7.4950000000000001</v>
      </c>
      <c r="N31" s="8">
        <f t="shared" si="1"/>
        <v>46027</v>
      </c>
    </row>
    <row r="32" spans="1:14" x14ac:dyDescent="0.4">
      <c r="A32" t="s">
        <v>99</v>
      </c>
      <c r="B32">
        <v>266</v>
      </c>
      <c r="C32">
        <v>30</v>
      </c>
      <c r="D32" s="2">
        <v>46036.299305555556</v>
      </c>
      <c r="E32">
        <v>499</v>
      </c>
      <c r="F32" t="s">
        <v>78</v>
      </c>
      <c r="G32" t="s">
        <v>64</v>
      </c>
      <c r="H32">
        <v>6</v>
      </c>
      <c r="I32" t="str">
        <f>IFERROR(VLOOKUP($C32,Merchants!$A$2:$D$41,2,FALSE),"Merchant not found")</f>
        <v>Merchant_030</v>
      </c>
      <c r="J32" t="str">
        <f>IFERROR(VLOOKUP($C32,Merchants!$A$2:$D$41,3,FALSE),"Merchant not found")</f>
        <v>travel</v>
      </c>
      <c r="K32" t="str">
        <f>IFERROR(VLOOKUP($C32,Merchants!$A$2:$D$41,4,FALSE),"Merchant not found")</f>
        <v>West</v>
      </c>
      <c r="L32" s="3">
        <f>IFERROR(HLOOKUP(F32,Fee_Lookup!$B$1:$E$2,2,FALSE),"Method not found")</f>
        <v>1.2E-2</v>
      </c>
      <c r="M32" s="6">
        <f t="shared" si="0"/>
        <v>5.9880000000000004</v>
      </c>
      <c r="N32" s="8">
        <f t="shared" si="1"/>
        <v>46036</v>
      </c>
    </row>
    <row r="33" spans="1:14" x14ac:dyDescent="0.4">
      <c r="A33" t="s">
        <v>100</v>
      </c>
      <c r="B33">
        <v>63</v>
      </c>
      <c r="C33">
        <v>30</v>
      </c>
      <c r="D33" s="2">
        <v>46040.331944444442</v>
      </c>
      <c r="E33">
        <v>799</v>
      </c>
      <c r="F33" t="s">
        <v>66</v>
      </c>
      <c r="G33" t="s">
        <v>64</v>
      </c>
      <c r="H33">
        <v>17</v>
      </c>
      <c r="I33" t="str">
        <f>IFERROR(VLOOKUP($C33,Merchants!$A$2:$D$41,2,FALSE),"Merchant not found")</f>
        <v>Merchant_030</v>
      </c>
      <c r="J33" t="str">
        <f>IFERROR(VLOOKUP($C33,Merchants!$A$2:$D$41,3,FALSE),"Merchant not found")</f>
        <v>travel</v>
      </c>
      <c r="K33" t="str">
        <f>IFERROR(VLOOKUP($C33,Merchants!$A$2:$D$41,4,FALSE),"Merchant not found")</f>
        <v>West</v>
      </c>
      <c r="L33" s="3">
        <f>IFERROR(HLOOKUP(F33,Fee_Lookup!$B$1:$E$2,2,FALSE),"Method not found")</f>
        <v>5.0000000000000001E-3</v>
      </c>
      <c r="M33" s="6">
        <f t="shared" si="0"/>
        <v>3.9950000000000001</v>
      </c>
      <c r="N33" s="8">
        <f t="shared" si="1"/>
        <v>46040</v>
      </c>
    </row>
    <row r="34" spans="1:14" x14ac:dyDescent="0.4">
      <c r="A34" t="s">
        <v>101</v>
      </c>
      <c r="B34">
        <v>272</v>
      </c>
      <c r="C34">
        <v>36</v>
      </c>
      <c r="D34" s="2">
        <v>46048.612500000003</v>
      </c>
      <c r="E34">
        <v>149</v>
      </c>
      <c r="F34" t="s">
        <v>66</v>
      </c>
      <c r="G34" t="s">
        <v>64</v>
      </c>
      <c r="H34">
        <v>76</v>
      </c>
      <c r="I34" t="str">
        <f>IFERROR(VLOOKUP($C34,Merchants!$A$2:$D$41,2,FALSE),"Merchant not found")</f>
        <v>Merchant_036</v>
      </c>
      <c r="J34" t="str">
        <f>IFERROR(VLOOKUP($C34,Merchants!$A$2:$D$41,3,FALSE),"Merchant not found")</f>
        <v>entertainment</v>
      </c>
      <c r="K34" t="str">
        <f>IFERROR(VLOOKUP($C34,Merchants!$A$2:$D$41,4,FALSE),"Merchant not found")</f>
        <v>East</v>
      </c>
      <c r="L34" s="3">
        <f>IFERROR(HLOOKUP(F34,Fee_Lookup!$B$1:$E$2,2,FALSE),"Method not found")</f>
        <v>5.0000000000000001E-3</v>
      </c>
      <c r="M34" s="6">
        <f t="shared" si="0"/>
        <v>0.745</v>
      </c>
      <c r="N34" s="8">
        <f t="shared" si="1"/>
        <v>46048</v>
      </c>
    </row>
    <row r="35" spans="1:14" x14ac:dyDescent="0.4">
      <c r="A35" t="s">
        <v>102</v>
      </c>
      <c r="B35">
        <v>259</v>
      </c>
      <c r="C35">
        <v>28</v>
      </c>
      <c r="D35" s="2">
        <v>46033.61041666667</v>
      </c>
      <c r="E35">
        <v>49</v>
      </c>
      <c r="F35" t="s">
        <v>63</v>
      </c>
      <c r="G35" t="s">
        <v>64</v>
      </c>
      <c r="H35">
        <v>70</v>
      </c>
      <c r="I35" t="str">
        <f>IFERROR(VLOOKUP($C35,Merchants!$A$2:$D$41,2,FALSE),"Merchant not found")</f>
        <v>Merchant_028</v>
      </c>
      <c r="J35" t="str">
        <f>IFERROR(VLOOKUP($C35,Merchants!$A$2:$D$41,3,FALSE),"Merchant not found")</f>
        <v>ecommerce</v>
      </c>
      <c r="K35" t="str">
        <f>IFERROR(VLOOKUP($C35,Merchants!$A$2:$D$41,4,FALSE),"Merchant not found")</f>
        <v>South</v>
      </c>
      <c r="L35" s="3">
        <f>IFERROR(HLOOKUP(F35,Fee_Lookup!$B$1:$E$2,2,FALSE),"Method not found")</f>
        <v>7.4999999999999997E-3</v>
      </c>
      <c r="M35" s="6">
        <f t="shared" si="0"/>
        <v>0.36749999999999999</v>
      </c>
      <c r="N35" s="8">
        <f t="shared" si="1"/>
        <v>46033</v>
      </c>
    </row>
    <row r="36" spans="1:14" x14ac:dyDescent="0.4">
      <c r="A36" t="s">
        <v>103</v>
      </c>
      <c r="B36">
        <v>244</v>
      </c>
      <c r="C36">
        <v>29</v>
      </c>
      <c r="D36" s="2">
        <v>46037.240972222222</v>
      </c>
      <c r="E36">
        <v>299</v>
      </c>
      <c r="F36" t="s">
        <v>69</v>
      </c>
      <c r="G36" t="s">
        <v>64</v>
      </c>
      <c r="H36">
        <v>33</v>
      </c>
      <c r="I36" t="str">
        <f>IFERROR(VLOOKUP($C36,Merchants!$A$2:$D$41,2,FALSE),"Merchant not found")</f>
        <v>Merchant_029</v>
      </c>
      <c r="J36" t="str">
        <f>IFERROR(VLOOKUP($C36,Merchants!$A$2:$D$41,3,FALSE),"Merchant not found")</f>
        <v>ecommerce</v>
      </c>
      <c r="K36" t="str">
        <f>IFERROR(VLOOKUP($C36,Merchants!$A$2:$D$41,4,FALSE),"Merchant not found")</f>
        <v>North</v>
      </c>
      <c r="L36" s="3">
        <f>IFERROR(HLOOKUP(F36,Fee_Lookup!$B$1:$E$2,2,FALSE),"Method not found")</f>
        <v>0.01</v>
      </c>
      <c r="M36" s="6">
        <f t="shared" si="0"/>
        <v>2.99</v>
      </c>
      <c r="N36" s="8">
        <f t="shared" si="1"/>
        <v>46037</v>
      </c>
    </row>
    <row r="37" spans="1:14" x14ac:dyDescent="0.4">
      <c r="A37" t="s">
        <v>104</v>
      </c>
      <c r="B37">
        <v>327</v>
      </c>
      <c r="C37">
        <v>18</v>
      </c>
      <c r="D37" s="2">
        <v>46047.328472222223</v>
      </c>
      <c r="E37">
        <v>149</v>
      </c>
      <c r="F37" t="s">
        <v>78</v>
      </c>
      <c r="G37" t="s">
        <v>64</v>
      </c>
      <c r="H37">
        <v>98</v>
      </c>
      <c r="I37" t="str">
        <f>IFERROR(VLOOKUP($C37,Merchants!$A$2:$D$41,2,FALSE),"Merchant not found")</f>
        <v>Merchant_018</v>
      </c>
      <c r="J37" t="str">
        <f>IFERROR(VLOOKUP($C37,Merchants!$A$2:$D$41,3,FALSE),"Merchant not found")</f>
        <v>grocery</v>
      </c>
      <c r="K37" t="str">
        <f>IFERROR(VLOOKUP($C37,Merchants!$A$2:$D$41,4,FALSE),"Merchant not found")</f>
        <v>West</v>
      </c>
      <c r="L37" s="3">
        <f>IFERROR(HLOOKUP(F37,Fee_Lookup!$B$1:$E$2,2,FALSE),"Method not found")</f>
        <v>1.2E-2</v>
      </c>
      <c r="M37" s="6">
        <f t="shared" si="0"/>
        <v>1.788</v>
      </c>
      <c r="N37" s="8">
        <f t="shared" si="1"/>
        <v>46047</v>
      </c>
    </row>
    <row r="38" spans="1:14" x14ac:dyDescent="0.4">
      <c r="A38" t="s">
        <v>105</v>
      </c>
      <c r="B38">
        <v>321</v>
      </c>
      <c r="C38">
        <v>16</v>
      </c>
      <c r="D38" s="2">
        <v>46047.688194444447</v>
      </c>
      <c r="E38">
        <v>49</v>
      </c>
      <c r="F38" t="s">
        <v>66</v>
      </c>
      <c r="G38" t="s">
        <v>64</v>
      </c>
      <c r="H38">
        <v>35</v>
      </c>
      <c r="I38" t="str">
        <f>IFERROR(VLOOKUP($C38,Merchants!$A$2:$D$41,2,FALSE),"Merchant not found")</f>
        <v>Merchant_016</v>
      </c>
      <c r="J38" t="str">
        <f>IFERROR(VLOOKUP($C38,Merchants!$A$2:$D$41,3,FALSE),"Merchant not found")</f>
        <v>bill_payment</v>
      </c>
      <c r="K38" t="str">
        <f>IFERROR(VLOOKUP($C38,Merchants!$A$2:$D$41,4,FALSE),"Merchant not found")</f>
        <v>West</v>
      </c>
      <c r="L38" s="3">
        <f>IFERROR(HLOOKUP(F38,Fee_Lookup!$B$1:$E$2,2,FALSE),"Method not found")</f>
        <v>5.0000000000000001E-3</v>
      </c>
      <c r="M38" s="6">
        <f t="shared" si="0"/>
        <v>0.245</v>
      </c>
      <c r="N38" s="8">
        <f t="shared" si="1"/>
        <v>46047</v>
      </c>
    </row>
    <row r="39" spans="1:14" x14ac:dyDescent="0.4">
      <c r="A39" t="s">
        <v>106</v>
      </c>
      <c r="B39">
        <v>147</v>
      </c>
      <c r="C39">
        <v>16</v>
      </c>
      <c r="D39" s="2">
        <v>46037.114583333336</v>
      </c>
      <c r="E39">
        <v>2999</v>
      </c>
      <c r="F39" t="s">
        <v>78</v>
      </c>
      <c r="G39" t="s">
        <v>64</v>
      </c>
      <c r="H39">
        <v>34</v>
      </c>
      <c r="I39" t="str">
        <f>IFERROR(VLOOKUP($C39,Merchants!$A$2:$D$41,2,FALSE),"Merchant not found")</f>
        <v>Merchant_016</v>
      </c>
      <c r="J39" t="str">
        <f>IFERROR(VLOOKUP($C39,Merchants!$A$2:$D$41,3,FALSE),"Merchant not found")</f>
        <v>bill_payment</v>
      </c>
      <c r="K39" t="str">
        <f>IFERROR(VLOOKUP($C39,Merchants!$A$2:$D$41,4,FALSE),"Merchant not found")</f>
        <v>West</v>
      </c>
      <c r="L39" s="3">
        <f>IFERROR(HLOOKUP(F39,Fee_Lookup!$B$1:$E$2,2,FALSE),"Method not found")</f>
        <v>1.2E-2</v>
      </c>
      <c r="M39" s="6">
        <f t="shared" si="0"/>
        <v>35.988</v>
      </c>
      <c r="N39" s="8">
        <f t="shared" si="1"/>
        <v>46037</v>
      </c>
    </row>
    <row r="40" spans="1:14" x14ac:dyDescent="0.4">
      <c r="A40" t="s">
        <v>107</v>
      </c>
      <c r="B40">
        <v>277</v>
      </c>
      <c r="C40">
        <v>6</v>
      </c>
      <c r="D40" s="2">
        <v>46033.456250000003</v>
      </c>
      <c r="E40">
        <v>1499</v>
      </c>
      <c r="F40" t="s">
        <v>78</v>
      </c>
      <c r="G40" t="s">
        <v>64</v>
      </c>
      <c r="H40">
        <v>17</v>
      </c>
      <c r="I40" t="str">
        <f>IFERROR(VLOOKUP($C40,Merchants!$A$2:$D$41,2,FALSE),"Merchant not found")</f>
        <v>Merchant_006</v>
      </c>
      <c r="J40" t="str">
        <f>IFERROR(VLOOKUP($C40,Merchants!$A$2:$D$41,3,FALSE),"Merchant not found")</f>
        <v>food_delivery</v>
      </c>
      <c r="K40" t="str">
        <f>IFERROR(VLOOKUP($C40,Merchants!$A$2:$D$41,4,FALSE),"Merchant not found")</f>
        <v>South</v>
      </c>
      <c r="L40" s="3">
        <f>IFERROR(HLOOKUP(F40,Fee_Lookup!$B$1:$E$2,2,FALSE),"Method not found")</f>
        <v>1.2E-2</v>
      </c>
      <c r="M40" s="6">
        <f t="shared" si="0"/>
        <v>17.988</v>
      </c>
      <c r="N40" s="8">
        <f t="shared" si="1"/>
        <v>46033</v>
      </c>
    </row>
    <row r="41" spans="1:14" x14ac:dyDescent="0.4">
      <c r="A41" t="s">
        <v>108</v>
      </c>
      <c r="B41">
        <v>79</v>
      </c>
      <c r="C41">
        <v>14</v>
      </c>
      <c r="D41" s="2">
        <v>46027.308333333334</v>
      </c>
      <c r="E41">
        <v>1499</v>
      </c>
      <c r="F41" t="s">
        <v>66</v>
      </c>
      <c r="G41" t="s">
        <v>64</v>
      </c>
      <c r="H41">
        <v>8</v>
      </c>
      <c r="I41" t="str">
        <f>IFERROR(VLOOKUP($C41,Merchants!$A$2:$D$41,2,FALSE),"Merchant not found")</f>
        <v>Merchant_014</v>
      </c>
      <c r="J41" t="str">
        <f>IFERROR(VLOOKUP($C41,Merchants!$A$2:$D$41,3,FALSE),"Merchant not found")</f>
        <v>grocery</v>
      </c>
      <c r="K41" t="str">
        <f>IFERROR(VLOOKUP($C41,Merchants!$A$2:$D$41,4,FALSE),"Merchant not found")</f>
        <v>East</v>
      </c>
      <c r="L41" s="3">
        <f>IFERROR(HLOOKUP(F41,Fee_Lookup!$B$1:$E$2,2,FALSE),"Method not found")</f>
        <v>5.0000000000000001E-3</v>
      </c>
      <c r="M41" s="6">
        <f t="shared" si="0"/>
        <v>7.4950000000000001</v>
      </c>
      <c r="N41" s="8">
        <f t="shared" si="1"/>
        <v>46027</v>
      </c>
    </row>
    <row r="42" spans="1:14" x14ac:dyDescent="0.4">
      <c r="A42" t="s">
        <v>109</v>
      </c>
      <c r="B42">
        <v>278</v>
      </c>
      <c r="C42">
        <v>30</v>
      </c>
      <c r="D42" s="2">
        <v>46036.556250000001</v>
      </c>
      <c r="E42">
        <v>1499</v>
      </c>
      <c r="F42" t="s">
        <v>66</v>
      </c>
      <c r="G42" t="s">
        <v>64</v>
      </c>
      <c r="H42">
        <v>53</v>
      </c>
      <c r="I42" t="str">
        <f>IFERROR(VLOOKUP($C42,Merchants!$A$2:$D$41,2,FALSE),"Merchant not found")</f>
        <v>Merchant_030</v>
      </c>
      <c r="J42" t="str">
        <f>IFERROR(VLOOKUP($C42,Merchants!$A$2:$D$41,3,FALSE),"Merchant not found")</f>
        <v>travel</v>
      </c>
      <c r="K42" t="str">
        <f>IFERROR(VLOOKUP($C42,Merchants!$A$2:$D$41,4,FALSE),"Merchant not found")</f>
        <v>West</v>
      </c>
      <c r="L42" s="3">
        <f>IFERROR(HLOOKUP(F42,Fee_Lookup!$B$1:$E$2,2,FALSE),"Method not found")</f>
        <v>5.0000000000000001E-3</v>
      </c>
      <c r="M42" s="6">
        <f t="shared" si="0"/>
        <v>7.4950000000000001</v>
      </c>
      <c r="N42" s="8">
        <f t="shared" si="1"/>
        <v>46036</v>
      </c>
    </row>
    <row r="43" spans="1:14" x14ac:dyDescent="0.4">
      <c r="A43" t="s">
        <v>110</v>
      </c>
      <c r="B43">
        <v>216</v>
      </c>
      <c r="C43">
        <v>25</v>
      </c>
      <c r="D43" s="2">
        <v>46024.286805555559</v>
      </c>
      <c r="E43">
        <v>99</v>
      </c>
      <c r="F43" t="s">
        <v>66</v>
      </c>
      <c r="G43" t="s">
        <v>64</v>
      </c>
      <c r="H43">
        <v>98</v>
      </c>
      <c r="I43" t="str">
        <f>IFERROR(VLOOKUP($C43,Merchants!$A$2:$D$41,2,FALSE),"Merchant not found")</f>
        <v>Merchant_025</v>
      </c>
      <c r="J43" t="str">
        <f>IFERROR(VLOOKUP($C43,Merchants!$A$2:$D$41,3,FALSE),"Merchant not found")</f>
        <v>travel</v>
      </c>
      <c r="K43" t="str">
        <f>IFERROR(VLOOKUP($C43,Merchants!$A$2:$D$41,4,FALSE),"Merchant not found")</f>
        <v>South</v>
      </c>
      <c r="L43" s="3">
        <f>IFERROR(HLOOKUP(F43,Fee_Lookup!$B$1:$E$2,2,FALSE),"Method not found")</f>
        <v>5.0000000000000001E-3</v>
      </c>
      <c r="M43" s="6">
        <f t="shared" si="0"/>
        <v>0.495</v>
      </c>
      <c r="N43" s="8">
        <f t="shared" si="1"/>
        <v>46024</v>
      </c>
    </row>
    <row r="44" spans="1:14" x14ac:dyDescent="0.4">
      <c r="A44" t="s">
        <v>111</v>
      </c>
      <c r="B44">
        <v>295</v>
      </c>
      <c r="C44">
        <v>25</v>
      </c>
      <c r="D44" s="2">
        <v>46041.917361111111</v>
      </c>
      <c r="E44">
        <v>1499</v>
      </c>
      <c r="F44" t="s">
        <v>66</v>
      </c>
      <c r="G44" t="s">
        <v>64</v>
      </c>
      <c r="H44">
        <v>61</v>
      </c>
      <c r="I44" t="str">
        <f>IFERROR(VLOOKUP($C44,Merchants!$A$2:$D$41,2,FALSE),"Merchant not found")</f>
        <v>Merchant_025</v>
      </c>
      <c r="J44" t="str">
        <f>IFERROR(VLOOKUP($C44,Merchants!$A$2:$D$41,3,FALSE),"Merchant not found")</f>
        <v>travel</v>
      </c>
      <c r="K44" t="str">
        <f>IFERROR(VLOOKUP($C44,Merchants!$A$2:$D$41,4,FALSE),"Merchant not found")</f>
        <v>South</v>
      </c>
      <c r="L44" s="3">
        <f>IFERROR(HLOOKUP(F44,Fee_Lookup!$B$1:$E$2,2,FALSE),"Method not found")</f>
        <v>5.0000000000000001E-3</v>
      </c>
      <c r="M44" s="6">
        <f t="shared" si="0"/>
        <v>7.4950000000000001</v>
      </c>
      <c r="N44" s="8">
        <f t="shared" si="1"/>
        <v>46041</v>
      </c>
    </row>
    <row r="45" spans="1:14" x14ac:dyDescent="0.4">
      <c r="A45" t="s">
        <v>112</v>
      </c>
      <c r="B45">
        <v>200</v>
      </c>
      <c r="C45">
        <v>27</v>
      </c>
      <c r="D45" s="2">
        <v>46023.47152777778</v>
      </c>
      <c r="E45">
        <v>149</v>
      </c>
      <c r="F45" t="s">
        <v>66</v>
      </c>
      <c r="G45" t="s">
        <v>64</v>
      </c>
      <c r="H45">
        <v>68</v>
      </c>
      <c r="I45" t="str">
        <f>IFERROR(VLOOKUP($C45,Merchants!$A$2:$D$41,2,FALSE),"Merchant not found")</f>
        <v>Merchant_027</v>
      </c>
      <c r="J45" t="str">
        <f>IFERROR(VLOOKUP($C45,Merchants!$A$2:$D$41,3,FALSE),"Merchant not found")</f>
        <v>ecommerce</v>
      </c>
      <c r="K45" t="str">
        <f>IFERROR(VLOOKUP($C45,Merchants!$A$2:$D$41,4,FALSE),"Merchant not found")</f>
        <v>North</v>
      </c>
      <c r="L45" s="3">
        <f>IFERROR(HLOOKUP(F45,Fee_Lookup!$B$1:$E$2,2,FALSE),"Method not found")</f>
        <v>5.0000000000000001E-3</v>
      </c>
      <c r="M45" s="6">
        <f t="shared" si="0"/>
        <v>0.745</v>
      </c>
      <c r="N45" s="8">
        <f t="shared" si="1"/>
        <v>46023</v>
      </c>
    </row>
    <row r="46" spans="1:14" x14ac:dyDescent="0.4">
      <c r="A46" t="s">
        <v>113</v>
      </c>
      <c r="B46">
        <v>309</v>
      </c>
      <c r="C46">
        <v>15</v>
      </c>
      <c r="D46" s="2">
        <v>46046.981944444444</v>
      </c>
      <c r="E46">
        <v>99</v>
      </c>
      <c r="F46" t="s">
        <v>69</v>
      </c>
      <c r="G46" t="s">
        <v>64</v>
      </c>
      <c r="H46">
        <v>62</v>
      </c>
      <c r="I46" t="str">
        <f>IFERROR(VLOOKUP($C46,Merchants!$A$2:$D$41,2,FALSE),"Merchant not found")</f>
        <v>Merchant_015</v>
      </c>
      <c r="J46" t="str">
        <f>IFERROR(VLOOKUP($C46,Merchants!$A$2:$D$41,3,FALSE),"Merchant not found")</f>
        <v>travel</v>
      </c>
      <c r="K46" t="str">
        <f>IFERROR(VLOOKUP($C46,Merchants!$A$2:$D$41,4,FALSE),"Merchant not found")</f>
        <v>North</v>
      </c>
      <c r="L46" s="3">
        <f>IFERROR(HLOOKUP(F46,Fee_Lookup!$B$1:$E$2,2,FALSE),"Method not found")</f>
        <v>0.01</v>
      </c>
      <c r="M46" s="6">
        <f t="shared" si="0"/>
        <v>0.99</v>
      </c>
      <c r="N46" s="8">
        <f t="shared" si="1"/>
        <v>46046</v>
      </c>
    </row>
    <row r="47" spans="1:14" x14ac:dyDescent="0.4">
      <c r="A47" t="s">
        <v>114</v>
      </c>
      <c r="B47">
        <v>249</v>
      </c>
      <c r="C47">
        <v>2</v>
      </c>
      <c r="D47" s="2">
        <v>46030.352083333331</v>
      </c>
      <c r="E47">
        <v>299</v>
      </c>
      <c r="F47" t="s">
        <v>63</v>
      </c>
      <c r="G47" t="s">
        <v>64</v>
      </c>
      <c r="H47">
        <v>49</v>
      </c>
      <c r="I47" t="str">
        <f>IFERROR(VLOOKUP($C47,Merchants!$A$2:$D$41,2,FALSE),"Merchant not found")</f>
        <v>Merchant_002</v>
      </c>
      <c r="J47" t="str">
        <f>IFERROR(VLOOKUP($C47,Merchants!$A$2:$D$41,3,FALSE),"Merchant not found")</f>
        <v>grocery</v>
      </c>
      <c r="K47" t="str">
        <f>IFERROR(VLOOKUP($C47,Merchants!$A$2:$D$41,4,FALSE),"Merchant not found")</f>
        <v>West</v>
      </c>
      <c r="L47" s="3">
        <f>IFERROR(HLOOKUP(F47,Fee_Lookup!$B$1:$E$2,2,FALSE),"Method not found")</f>
        <v>7.4999999999999997E-3</v>
      </c>
      <c r="M47" s="6">
        <f t="shared" si="0"/>
        <v>2.2424999999999997</v>
      </c>
      <c r="N47" s="8">
        <f t="shared" si="1"/>
        <v>46030</v>
      </c>
    </row>
    <row r="48" spans="1:14" x14ac:dyDescent="0.4">
      <c r="A48" t="s">
        <v>115</v>
      </c>
      <c r="B48">
        <v>208</v>
      </c>
      <c r="C48">
        <v>11</v>
      </c>
      <c r="D48" s="2">
        <v>46033.904861111114</v>
      </c>
      <c r="E48">
        <v>4999</v>
      </c>
      <c r="F48" t="s">
        <v>69</v>
      </c>
      <c r="G48" t="s">
        <v>64</v>
      </c>
      <c r="H48">
        <v>59</v>
      </c>
      <c r="I48" t="str">
        <f>IFERROR(VLOOKUP($C48,Merchants!$A$2:$D$41,2,FALSE),"Merchant not found")</f>
        <v>Merchant_011</v>
      </c>
      <c r="J48" t="str">
        <f>IFERROR(VLOOKUP($C48,Merchants!$A$2:$D$41,3,FALSE),"Merchant not found")</f>
        <v>ecommerce</v>
      </c>
      <c r="K48" t="str">
        <f>IFERROR(VLOOKUP($C48,Merchants!$A$2:$D$41,4,FALSE),"Merchant not found")</f>
        <v>North</v>
      </c>
      <c r="L48" s="3">
        <f>IFERROR(HLOOKUP(F48,Fee_Lookup!$B$1:$E$2,2,FALSE),"Method not found")</f>
        <v>0.01</v>
      </c>
      <c r="M48" s="6">
        <f t="shared" si="0"/>
        <v>49.99</v>
      </c>
      <c r="N48" s="8">
        <f t="shared" si="1"/>
        <v>46033</v>
      </c>
    </row>
    <row r="49" spans="1:14" x14ac:dyDescent="0.4">
      <c r="A49" t="s">
        <v>116</v>
      </c>
      <c r="B49">
        <v>274</v>
      </c>
      <c r="C49">
        <v>2</v>
      </c>
      <c r="D49" s="2">
        <v>46052.193749999999</v>
      </c>
      <c r="E49">
        <v>299</v>
      </c>
      <c r="F49" t="s">
        <v>66</v>
      </c>
      <c r="G49" t="s">
        <v>64</v>
      </c>
      <c r="H49">
        <v>50</v>
      </c>
      <c r="I49" t="str">
        <f>IFERROR(VLOOKUP($C49,Merchants!$A$2:$D$41,2,FALSE),"Merchant not found")</f>
        <v>Merchant_002</v>
      </c>
      <c r="J49" t="str">
        <f>IFERROR(VLOOKUP($C49,Merchants!$A$2:$D$41,3,FALSE),"Merchant not found")</f>
        <v>grocery</v>
      </c>
      <c r="K49" t="str">
        <f>IFERROR(VLOOKUP($C49,Merchants!$A$2:$D$41,4,FALSE),"Merchant not found")</f>
        <v>West</v>
      </c>
      <c r="L49" s="3">
        <f>IFERROR(HLOOKUP(F49,Fee_Lookup!$B$1:$E$2,2,FALSE),"Method not found")</f>
        <v>5.0000000000000001E-3</v>
      </c>
      <c r="M49" s="6">
        <f t="shared" si="0"/>
        <v>1.4950000000000001</v>
      </c>
      <c r="N49" s="8">
        <f t="shared" si="1"/>
        <v>46052</v>
      </c>
    </row>
    <row r="50" spans="1:14" x14ac:dyDescent="0.4">
      <c r="A50" t="s">
        <v>117</v>
      </c>
      <c r="B50">
        <v>14</v>
      </c>
      <c r="C50">
        <v>6</v>
      </c>
      <c r="D50" s="2">
        <v>46041.779166666667</v>
      </c>
      <c r="E50">
        <v>49</v>
      </c>
      <c r="F50" t="s">
        <v>63</v>
      </c>
      <c r="G50" t="s">
        <v>64</v>
      </c>
      <c r="H50">
        <v>82</v>
      </c>
      <c r="I50" t="str">
        <f>IFERROR(VLOOKUP($C50,Merchants!$A$2:$D$41,2,FALSE),"Merchant not found")</f>
        <v>Merchant_006</v>
      </c>
      <c r="J50" t="str">
        <f>IFERROR(VLOOKUP($C50,Merchants!$A$2:$D$41,3,FALSE),"Merchant not found")</f>
        <v>food_delivery</v>
      </c>
      <c r="K50" t="str">
        <f>IFERROR(VLOOKUP($C50,Merchants!$A$2:$D$41,4,FALSE),"Merchant not found")</f>
        <v>South</v>
      </c>
      <c r="L50" s="3">
        <f>IFERROR(HLOOKUP(F50,Fee_Lookup!$B$1:$E$2,2,FALSE),"Method not found")</f>
        <v>7.4999999999999997E-3</v>
      </c>
      <c r="M50" s="6">
        <f t="shared" si="0"/>
        <v>0.36749999999999999</v>
      </c>
      <c r="N50" s="8">
        <f t="shared" si="1"/>
        <v>46041</v>
      </c>
    </row>
    <row r="51" spans="1:14" x14ac:dyDescent="0.4">
      <c r="A51" t="s">
        <v>118</v>
      </c>
      <c r="B51">
        <v>237</v>
      </c>
      <c r="C51">
        <v>12</v>
      </c>
      <c r="D51" s="2">
        <v>46036.204861111109</v>
      </c>
      <c r="E51">
        <v>49</v>
      </c>
      <c r="F51" t="s">
        <v>66</v>
      </c>
      <c r="G51" t="s">
        <v>64</v>
      </c>
      <c r="H51">
        <v>6</v>
      </c>
      <c r="I51" t="str">
        <f>IFERROR(VLOOKUP($C51,Merchants!$A$2:$D$41,2,FALSE),"Merchant not found")</f>
        <v>Merchant_012</v>
      </c>
      <c r="J51" t="str">
        <f>IFERROR(VLOOKUP($C51,Merchants!$A$2:$D$41,3,FALSE),"Merchant not found")</f>
        <v>ecommerce</v>
      </c>
      <c r="K51" t="str">
        <f>IFERROR(VLOOKUP($C51,Merchants!$A$2:$D$41,4,FALSE),"Merchant not found")</f>
        <v>East</v>
      </c>
      <c r="L51" s="3">
        <f>IFERROR(HLOOKUP(F51,Fee_Lookup!$B$1:$E$2,2,FALSE),"Method not found")</f>
        <v>5.0000000000000001E-3</v>
      </c>
      <c r="M51" s="6">
        <f t="shared" si="0"/>
        <v>0.245</v>
      </c>
      <c r="N51" s="8">
        <f t="shared" si="1"/>
        <v>46036</v>
      </c>
    </row>
    <row r="52" spans="1:14" x14ac:dyDescent="0.4">
      <c r="A52" t="s">
        <v>119</v>
      </c>
      <c r="B52">
        <v>109</v>
      </c>
      <c r="C52">
        <v>30</v>
      </c>
      <c r="D52" s="2">
        <v>46031.513888888891</v>
      </c>
      <c r="E52">
        <v>99</v>
      </c>
      <c r="F52" t="s">
        <v>66</v>
      </c>
      <c r="G52" t="s">
        <v>64</v>
      </c>
      <c r="H52">
        <v>41</v>
      </c>
      <c r="I52" t="str">
        <f>IFERROR(VLOOKUP($C52,Merchants!$A$2:$D$41,2,FALSE),"Merchant not found")</f>
        <v>Merchant_030</v>
      </c>
      <c r="J52" t="str">
        <f>IFERROR(VLOOKUP($C52,Merchants!$A$2:$D$41,3,FALSE),"Merchant not found")</f>
        <v>travel</v>
      </c>
      <c r="K52" t="str">
        <f>IFERROR(VLOOKUP($C52,Merchants!$A$2:$D$41,4,FALSE),"Merchant not found")</f>
        <v>West</v>
      </c>
      <c r="L52" s="3">
        <f>IFERROR(HLOOKUP(F52,Fee_Lookup!$B$1:$E$2,2,FALSE),"Method not found")</f>
        <v>5.0000000000000001E-3</v>
      </c>
      <c r="M52" s="6">
        <f t="shared" si="0"/>
        <v>0.495</v>
      </c>
      <c r="N52" s="8">
        <f t="shared" si="1"/>
        <v>46031</v>
      </c>
    </row>
    <row r="53" spans="1:14" x14ac:dyDescent="0.4">
      <c r="A53" t="s">
        <v>120</v>
      </c>
      <c r="B53">
        <v>216</v>
      </c>
      <c r="C53">
        <v>17</v>
      </c>
      <c r="D53" s="2">
        <v>46033.511805555558</v>
      </c>
      <c r="E53">
        <v>4999</v>
      </c>
      <c r="F53" t="s">
        <v>66</v>
      </c>
      <c r="G53" t="s">
        <v>64</v>
      </c>
      <c r="H53">
        <v>10</v>
      </c>
      <c r="I53" t="str">
        <f>IFERROR(VLOOKUP($C53,Merchants!$A$2:$D$41,2,FALSE),"Merchant not found")</f>
        <v>Merchant_017</v>
      </c>
      <c r="J53" t="str">
        <f>IFERROR(VLOOKUP($C53,Merchants!$A$2:$D$41,3,FALSE),"Merchant not found")</f>
        <v>grocery</v>
      </c>
      <c r="K53" t="str">
        <f>IFERROR(VLOOKUP($C53,Merchants!$A$2:$D$41,4,FALSE),"Merchant not found")</f>
        <v>North</v>
      </c>
      <c r="L53" s="3">
        <f>IFERROR(HLOOKUP(F53,Fee_Lookup!$B$1:$E$2,2,FALSE),"Method not found")</f>
        <v>5.0000000000000001E-3</v>
      </c>
      <c r="M53" s="6">
        <f t="shared" si="0"/>
        <v>24.995000000000001</v>
      </c>
      <c r="N53" s="8">
        <f t="shared" si="1"/>
        <v>46033</v>
      </c>
    </row>
    <row r="54" spans="1:14" x14ac:dyDescent="0.4">
      <c r="A54" t="s">
        <v>121</v>
      </c>
      <c r="B54">
        <v>277</v>
      </c>
      <c r="C54">
        <v>4</v>
      </c>
      <c r="D54" s="2">
        <v>46038.032638888886</v>
      </c>
      <c r="E54">
        <v>799</v>
      </c>
      <c r="F54" t="s">
        <v>66</v>
      </c>
      <c r="G54" t="s">
        <v>64</v>
      </c>
      <c r="H54">
        <v>44</v>
      </c>
      <c r="I54" t="str">
        <f>IFERROR(VLOOKUP($C54,Merchants!$A$2:$D$41,2,FALSE),"Merchant not found")</f>
        <v>Merchant_004</v>
      </c>
      <c r="J54" t="str">
        <f>IFERROR(VLOOKUP($C54,Merchants!$A$2:$D$41,3,FALSE),"Merchant not found")</f>
        <v>ecommerce</v>
      </c>
      <c r="K54" t="str">
        <f>IFERROR(VLOOKUP($C54,Merchants!$A$2:$D$41,4,FALSE),"Merchant not found")</f>
        <v>East</v>
      </c>
      <c r="L54" s="3">
        <f>IFERROR(HLOOKUP(F54,Fee_Lookup!$B$1:$E$2,2,FALSE),"Method not found")</f>
        <v>5.0000000000000001E-3</v>
      </c>
      <c r="M54" s="6">
        <f t="shared" si="0"/>
        <v>3.9950000000000001</v>
      </c>
      <c r="N54" s="8">
        <f t="shared" si="1"/>
        <v>46038</v>
      </c>
    </row>
    <row r="55" spans="1:14" x14ac:dyDescent="0.4">
      <c r="A55" t="s">
        <v>122</v>
      </c>
      <c r="B55">
        <v>334</v>
      </c>
      <c r="C55">
        <v>3</v>
      </c>
      <c r="D55" s="2">
        <v>46030.836111111108</v>
      </c>
      <c r="E55">
        <v>149</v>
      </c>
      <c r="F55" t="s">
        <v>63</v>
      </c>
      <c r="G55" t="s">
        <v>64</v>
      </c>
      <c r="H55">
        <v>96</v>
      </c>
      <c r="I55" t="str">
        <f>IFERROR(VLOOKUP($C55,Merchants!$A$2:$D$41,2,FALSE),"Merchant not found")</f>
        <v>Merchant_003</v>
      </c>
      <c r="J55" t="str">
        <f>IFERROR(VLOOKUP($C55,Merchants!$A$2:$D$41,3,FALSE),"Merchant not found")</f>
        <v>grocery</v>
      </c>
      <c r="K55" t="str">
        <f>IFERROR(VLOOKUP($C55,Merchants!$A$2:$D$41,4,FALSE),"Merchant not found")</f>
        <v>East</v>
      </c>
      <c r="L55" s="3">
        <f>IFERROR(HLOOKUP(F55,Fee_Lookup!$B$1:$E$2,2,FALSE),"Method not found")</f>
        <v>7.4999999999999997E-3</v>
      </c>
      <c r="M55" s="6">
        <f t="shared" si="0"/>
        <v>1.1174999999999999</v>
      </c>
      <c r="N55" s="8">
        <f t="shared" si="1"/>
        <v>46030</v>
      </c>
    </row>
    <row r="56" spans="1:14" x14ac:dyDescent="0.4">
      <c r="A56" t="s">
        <v>123</v>
      </c>
      <c r="B56">
        <v>11</v>
      </c>
      <c r="C56">
        <v>40</v>
      </c>
      <c r="D56" s="2">
        <v>46023.3</v>
      </c>
      <c r="E56">
        <v>299</v>
      </c>
      <c r="F56" t="s">
        <v>66</v>
      </c>
      <c r="G56" t="s">
        <v>64</v>
      </c>
      <c r="H56">
        <v>19</v>
      </c>
      <c r="I56" t="str">
        <f>IFERROR(VLOOKUP($C56,Merchants!$A$2:$D$41,2,FALSE),"Merchant not found")</f>
        <v>Merchant_040</v>
      </c>
      <c r="J56" t="str">
        <f>IFERROR(VLOOKUP($C56,Merchants!$A$2:$D$41,3,FALSE),"Merchant not found")</f>
        <v>entertainment</v>
      </c>
      <c r="K56" t="str">
        <f>IFERROR(VLOOKUP($C56,Merchants!$A$2:$D$41,4,FALSE),"Merchant not found")</f>
        <v>South</v>
      </c>
      <c r="L56" s="3">
        <f>IFERROR(HLOOKUP(F56,Fee_Lookup!$B$1:$E$2,2,FALSE),"Method not found")</f>
        <v>5.0000000000000001E-3</v>
      </c>
      <c r="M56" s="6">
        <f t="shared" si="0"/>
        <v>1.4950000000000001</v>
      </c>
      <c r="N56" s="8">
        <f t="shared" si="1"/>
        <v>46023</v>
      </c>
    </row>
    <row r="57" spans="1:14" x14ac:dyDescent="0.4">
      <c r="A57" t="s">
        <v>124</v>
      </c>
      <c r="B57">
        <v>343</v>
      </c>
      <c r="C57">
        <v>8</v>
      </c>
      <c r="D57" s="2">
        <v>46030.1875</v>
      </c>
      <c r="E57">
        <v>99</v>
      </c>
      <c r="F57" t="s">
        <v>66</v>
      </c>
      <c r="G57" t="s">
        <v>64</v>
      </c>
      <c r="H57">
        <v>72</v>
      </c>
      <c r="I57" t="str">
        <f>IFERROR(VLOOKUP($C57,Merchants!$A$2:$D$41,2,FALSE),"Merchant not found")</f>
        <v>Merchant_008</v>
      </c>
      <c r="J57" t="str">
        <f>IFERROR(VLOOKUP($C57,Merchants!$A$2:$D$41,3,FALSE),"Merchant not found")</f>
        <v>food_delivery</v>
      </c>
      <c r="K57" t="str">
        <f>IFERROR(VLOOKUP($C57,Merchants!$A$2:$D$41,4,FALSE),"Merchant not found")</f>
        <v>North</v>
      </c>
      <c r="L57" s="3">
        <f>IFERROR(HLOOKUP(F57,Fee_Lookup!$B$1:$E$2,2,FALSE),"Method not found")</f>
        <v>5.0000000000000001E-3</v>
      </c>
      <c r="M57" s="6">
        <f t="shared" si="0"/>
        <v>0.495</v>
      </c>
      <c r="N57" s="8">
        <f t="shared" si="1"/>
        <v>46030</v>
      </c>
    </row>
    <row r="58" spans="1:14" x14ac:dyDescent="0.4">
      <c r="A58" t="s">
        <v>125</v>
      </c>
      <c r="B58">
        <v>132</v>
      </c>
      <c r="C58">
        <v>24</v>
      </c>
      <c r="D58" s="2">
        <v>46029.613888888889</v>
      </c>
      <c r="E58">
        <v>299</v>
      </c>
      <c r="F58" t="s">
        <v>63</v>
      </c>
      <c r="G58" t="s">
        <v>64</v>
      </c>
      <c r="H58">
        <v>21</v>
      </c>
      <c r="I58" t="str">
        <f>IFERROR(VLOOKUP($C58,Merchants!$A$2:$D$41,2,FALSE),"Merchant not found")</f>
        <v>Merchant_024</v>
      </c>
      <c r="J58" t="str">
        <f>IFERROR(VLOOKUP($C58,Merchants!$A$2:$D$41,3,FALSE),"Merchant not found")</f>
        <v>grocery</v>
      </c>
      <c r="K58" t="str">
        <f>IFERROR(VLOOKUP($C58,Merchants!$A$2:$D$41,4,FALSE),"Merchant not found")</f>
        <v>North</v>
      </c>
      <c r="L58" s="3">
        <f>IFERROR(HLOOKUP(F58,Fee_Lookup!$B$1:$E$2,2,FALSE),"Method not found")</f>
        <v>7.4999999999999997E-3</v>
      </c>
      <c r="M58" s="6">
        <f t="shared" si="0"/>
        <v>2.2424999999999997</v>
      </c>
      <c r="N58" s="8">
        <f t="shared" si="1"/>
        <v>46029</v>
      </c>
    </row>
    <row r="59" spans="1:14" x14ac:dyDescent="0.4">
      <c r="A59" t="s">
        <v>126</v>
      </c>
      <c r="B59">
        <v>59</v>
      </c>
      <c r="C59">
        <v>11</v>
      </c>
      <c r="D59" s="2">
        <v>46042.824305555558</v>
      </c>
      <c r="E59">
        <v>299</v>
      </c>
      <c r="F59" t="s">
        <v>66</v>
      </c>
      <c r="G59" t="s">
        <v>64</v>
      </c>
      <c r="H59">
        <v>39</v>
      </c>
      <c r="I59" t="str">
        <f>IFERROR(VLOOKUP($C59,Merchants!$A$2:$D$41,2,FALSE),"Merchant not found")</f>
        <v>Merchant_011</v>
      </c>
      <c r="J59" t="str">
        <f>IFERROR(VLOOKUP($C59,Merchants!$A$2:$D$41,3,FALSE),"Merchant not found")</f>
        <v>ecommerce</v>
      </c>
      <c r="K59" t="str">
        <f>IFERROR(VLOOKUP($C59,Merchants!$A$2:$D$41,4,FALSE),"Merchant not found")</f>
        <v>North</v>
      </c>
      <c r="L59" s="3">
        <f>IFERROR(HLOOKUP(F59,Fee_Lookup!$B$1:$E$2,2,FALSE),"Method not found")</f>
        <v>5.0000000000000001E-3</v>
      </c>
      <c r="M59" s="6">
        <f t="shared" si="0"/>
        <v>1.4950000000000001</v>
      </c>
      <c r="N59" s="8">
        <f t="shared" si="1"/>
        <v>46042</v>
      </c>
    </row>
    <row r="60" spans="1:14" x14ac:dyDescent="0.4">
      <c r="A60" t="s">
        <v>127</v>
      </c>
      <c r="B60">
        <v>160</v>
      </c>
      <c r="C60">
        <v>37</v>
      </c>
      <c r="D60" s="2">
        <v>46026.750694444447</v>
      </c>
      <c r="E60">
        <v>49</v>
      </c>
      <c r="F60" t="s">
        <v>63</v>
      </c>
      <c r="G60" t="s">
        <v>64</v>
      </c>
      <c r="H60">
        <v>86</v>
      </c>
      <c r="I60" t="str">
        <f>IFERROR(VLOOKUP($C60,Merchants!$A$2:$D$41,2,FALSE),"Merchant not found")</f>
        <v>Merchant_037</v>
      </c>
      <c r="J60" t="str">
        <f>IFERROR(VLOOKUP($C60,Merchants!$A$2:$D$41,3,FALSE),"Merchant not found")</f>
        <v>entertainment</v>
      </c>
      <c r="K60" t="str">
        <f>IFERROR(VLOOKUP($C60,Merchants!$A$2:$D$41,4,FALSE),"Merchant not found")</f>
        <v>South</v>
      </c>
      <c r="L60" s="3">
        <f>IFERROR(HLOOKUP(F60,Fee_Lookup!$B$1:$E$2,2,FALSE),"Method not found")</f>
        <v>7.4999999999999997E-3</v>
      </c>
      <c r="M60" s="6">
        <f t="shared" si="0"/>
        <v>0.36749999999999999</v>
      </c>
      <c r="N60" s="8">
        <f t="shared" si="1"/>
        <v>46026</v>
      </c>
    </row>
    <row r="61" spans="1:14" x14ac:dyDescent="0.4">
      <c r="A61" t="s">
        <v>128</v>
      </c>
      <c r="B61">
        <v>102</v>
      </c>
      <c r="C61">
        <v>5</v>
      </c>
      <c r="D61" s="2">
        <v>46052.517361111109</v>
      </c>
      <c r="E61">
        <v>2999</v>
      </c>
      <c r="F61" t="s">
        <v>66</v>
      </c>
      <c r="G61" t="s">
        <v>64</v>
      </c>
      <c r="H61">
        <v>75</v>
      </c>
      <c r="I61" t="str">
        <f>IFERROR(VLOOKUP($C61,Merchants!$A$2:$D$41,2,FALSE),"Merchant not found")</f>
        <v>Merchant_005</v>
      </c>
      <c r="J61" t="str">
        <f>IFERROR(VLOOKUP($C61,Merchants!$A$2:$D$41,3,FALSE),"Merchant not found")</f>
        <v>recharge</v>
      </c>
      <c r="K61" t="str">
        <f>IFERROR(VLOOKUP($C61,Merchants!$A$2:$D$41,4,FALSE),"Merchant not found")</f>
        <v>South</v>
      </c>
      <c r="L61" s="3">
        <f>IFERROR(HLOOKUP(F61,Fee_Lookup!$B$1:$E$2,2,FALSE),"Method not found")</f>
        <v>5.0000000000000001E-3</v>
      </c>
      <c r="M61" s="6">
        <f t="shared" si="0"/>
        <v>14.995000000000001</v>
      </c>
      <c r="N61" s="8">
        <f t="shared" si="1"/>
        <v>46052</v>
      </c>
    </row>
    <row r="62" spans="1:14" x14ac:dyDescent="0.4">
      <c r="A62" t="s">
        <v>129</v>
      </c>
      <c r="B62">
        <v>53</v>
      </c>
      <c r="C62">
        <v>20</v>
      </c>
      <c r="D62" s="2">
        <v>46045.84375</v>
      </c>
      <c r="E62">
        <v>49</v>
      </c>
      <c r="F62" t="s">
        <v>69</v>
      </c>
      <c r="G62" t="s">
        <v>64</v>
      </c>
      <c r="H62">
        <v>87</v>
      </c>
      <c r="I62" t="str">
        <f>IFERROR(VLOOKUP($C62,Merchants!$A$2:$D$41,2,FALSE),"Merchant not found")</f>
        <v>Merchant_020</v>
      </c>
      <c r="J62" t="str">
        <f>IFERROR(VLOOKUP($C62,Merchants!$A$2:$D$41,3,FALSE),"Merchant not found")</f>
        <v>food_delivery</v>
      </c>
      <c r="K62" t="str">
        <f>IFERROR(VLOOKUP($C62,Merchants!$A$2:$D$41,4,FALSE),"Merchant not found")</f>
        <v>East</v>
      </c>
      <c r="L62" s="3">
        <f>IFERROR(HLOOKUP(F62,Fee_Lookup!$B$1:$E$2,2,FALSE),"Method not found")</f>
        <v>0.01</v>
      </c>
      <c r="M62" s="6">
        <f t="shared" si="0"/>
        <v>0.49</v>
      </c>
      <c r="N62" s="8">
        <f t="shared" si="1"/>
        <v>46045</v>
      </c>
    </row>
    <row r="63" spans="1:14" x14ac:dyDescent="0.4">
      <c r="A63" t="s">
        <v>130</v>
      </c>
      <c r="B63">
        <v>290</v>
      </c>
      <c r="C63">
        <v>3</v>
      </c>
      <c r="D63" s="2">
        <v>46042.159722222219</v>
      </c>
      <c r="E63">
        <v>99</v>
      </c>
      <c r="F63" t="s">
        <v>63</v>
      </c>
      <c r="G63" t="s">
        <v>64</v>
      </c>
      <c r="H63">
        <v>44</v>
      </c>
      <c r="I63" t="str">
        <f>IFERROR(VLOOKUP($C63,Merchants!$A$2:$D$41,2,FALSE),"Merchant not found")</f>
        <v>Merchant_003</v>
      </c>
      <c r="J63" t="str">
        <f>IFERROR(VLOOKUP($C63,Merchants!$A$2:$D$41,3,FALSE),"Merchant not found")</f>
        <v>grocery</v>
      </c>
      <c r="K63" t="str">
        <f>IFERROR(VLOOKUP($C63,Merchants!$A$2:$D$41,4,FALSE),"Merchant not found")</f>
        <v>East</v>
      </c>
      <c r="L63" s="3">
        <f>IFERROR(HLOOKUP(F63,Fee_Lookup!$B$1:$E$2,2,FALSE),"Method not found")</f>
        <v>7.4999999999999997E-3</v>
      </c>
      <c r="M63" s="6">
        <f t="shared" si="0"/>
        <v>0.74249999999999994</v>
      </c>
      <c r="N63" s="8">
        <f t="shared" si="1"/>
        <v>46042</v>
      </c>
    </row>
    <row r="64" spans="1:14" x14ac:dyDescent="0.4">
      <c r="A64" t="s">
        <v>131</v>
      </c>
      <c r="B64">
        <v>190</v>
      </c>
      <c r="C64">
        <v>5</v>
      </c>
      <c r="D64" s="2">
        <v>46040.570833333331</v>
      </c>
      <c r="E64">
        <v>299</v>
      </c>
      <c r="F64" t="s">
        <v>66</v>
      </c>
      <c r="G64" t="s">
        <v>64</v>
      </c>
      <c r="H64">
        <v>64</v>
      </c>
      <c r="I64" t="str">
        <f>IFERROR(VLOOKUP($C64,Merchants!$A$2:$D$41,2,FALSE),"Merchant not found")</f>
        <v>Merchant_005</v>
      </c>
      <c r="J64" t="str">
        <f>IFERROR(VLOOKUP($C64,Merchants!$A$2:$D$41,3,FALSE),"Merchant not found")</f>
        <v>recharge</v>
      </c>
      <c r="K64" t="str">
        <f>IFERROR(VLOOKUP($C64,Merchants!$A$2:$D$41,4,FALSE),"Merchant not found")</f>
        <v>South</v>
      </c>
      <c r="L64" s="3">
        <f>IFERROR(HLOOKUP(F64,Fee_Lookup!$B$1:$E$2,2,FALSE),"Method not found")</f>
        <v>5.0000000000000001E-3</v>
      </c>
      <c r="M64" s="6">
        <f t="shared" si="0"/>
        <v>1.4950000000000001</v>
      </c>
      <c r="N64" s="8">
        <f t="shared" si="1"/>
        <v>46040</v>
      </c>
    </row>
    <row r="65" spans="1:14" x14ac:dyDescent="0.4">
      <c r="A65" t="s">
        <v>132</v>
      </c>
      <c r="B65">
        <v>216</v>
      </c>
      <c r="C65">
        <v>32</v>
      </c>
      <c r="D65" s="2">
        <v>46043.416666666664</v>
      </c>
      <c r="E65">
        <v>49</v>
      </c>
      <c r="F65" t="s">
        <v>78</v>
      </c>
      <c r="G65" t="s">
        <v>64</v>
      </c>
      <c r="H65">
        <v>13</v>
      </c>
      <c r="I65" t="str">
        <f>IFERROR(VLOOKUP($C65,Merchants!$A$2:$D$41,2,FALSE),"Merchant not found")</f>
        <v>Merchant_032</v>
      </c>
      <c r="J65" t="str">
        <f>IFERROR(VLOOKUP($C65,Merchants!$A$2:$D$41,3,FALSE),"Merchant not found")</f>
        <v>food_delivery</v>
      </c>
      <c r="K65" t="str">
        <f>IFERROR(VLOOKUP($C65,Merchants!$A$2:$D$41,4,FALSE),"Merchant not found")</f>
        <v>West</v>
      </c>
      <c r="L65" s="3">
        <f>IFERROR(HLOOKUP(F65,Fee_Lookup!$B$1:$E$2,2,FALSE),"Method not found")</f>
        <v>1.2E-2</v>
      </c>
      <c r="M65" s="6">
        <f t="shared" si="0"/>
        <v>0.58799999999999997</v>
      </c>
      <c r="N65" s="8">
        <f t="shared" si="1"/>
        <v>46043</v>
      </c>
    </row>
    <row r="66" spans="1:14" x14ac:dyDescent="0.4">
      <c r="A66" t="s">
        <v>133</v>
      </c>
      <c r="B66">
        <v>236</v>
      </c>
      <c r="C66">
        <v>10</v>
      </c>
      <c r="D66" s="2">
        <v>46036.486111111109</v>
      </c>
      <c r="E66">
        <v>499</v>
      </c>
      <c r="F66" t="s">
        <v>66</v>
      </c>
      <c r="G66" t="s">
        <v>64</v>
      </c>
      <c r="H66">
        <v>55</v>
      </c>
      <c r="I66" t="str">
        <f>IFERROR(VLOOKUP($C66,Merchants!$A$2:$D$41,2,FALSE),"Merchant not found")</f>
        <v>Merchant_010</v>
      </c>
      <c r="J66" t="str">
        <f>IFERROR(VLOOKUP($C66,Merchants!$A$2:$D$41,3,FALSE),"Merchant not found")</f>
        <v>grocery</v>
      </c>
      <c r="K66" t="str">
        <f>IFERROR(VLOOKUP($C66,Merchants!$A$2:$D$41,4,FALSE),"Merchant not found")</f>
        <v>West</v>
      </c>
      <c r="L66" s="3">
        <f>IFERROR(HLOOKUP(F66,Fee_Lookup!$B$1:$E$2,2,FALSE),"Method not found")</f>
        <v>5.0000000000000001E-3</v>
      </c>
      <c r="M66" s="6">
        <f t="shared" si="0"/>
        <v>2.4950000000000001</v>
      </c>
      <c r="N66" s="8">
        <f t="shared" si="1"/>
        <v>46036</v>
      </c>
    </row>
    <row r="67" spans="1:14" x14ac:dyDescent="0.4">
      <c r="A67" t="s">
        <v>134</v>
      </c>
      <c r="B67">
        <v>334</v>
      </c>
      <c r="C67">
        <v>18</v>
      </c>
      <c r="D67" s="2">
        <v>46028.981249999997</v>
      </c>
      <c r="E67">
        <v>499</v>
      </c>
      <c r="F67" t="s">
        <v>78</v>
      </c>
      <c r="G67" t="s">
        <v>64</v>
      </c>
      <c r="H67">
        <v>78</v>
      </c>
      <c r="I67" t="str">
        <f>IFERROR(VLOOKUP($C67,Merchants!$A$2:$D$41,2,FALSE),"Merchant not found")</f>
        <v>Merchant_018</v>
      </c>
      <c r="J67" t="str">
        <f>IFERROR(VLOOKUP($C67,Merchants!$A$2:$D$41,3,FALSE),"Merchant not found")</f>
        <v>grocery</v>
      </c>
      <c r="K67" t="str">
        <f>IFERROR(VLOOKUP($C67,Merchants!$A$2:$D$41,4,FALSE),"Merchant not found")</f>
        <v>West</v>
      </c>
      <c r="L67" s="3">
        <f>IFERROR(HLOOKUP(F67,Fee_Lookup!$B$1:$E$2,2,FALSE),"Method not found")</f>
        <v>1.2E-2</v>
      </c>
      <c r="M67" s="6">
        <f t="shared" ref="M67:M130" si="2">E67*L67</f>
        <v>5.9880000000000004</v>
      </c>
      <c r="N67" s="8">
        <f t="shared" ref="N67:N130" si="3">INT(D67)</f>
        <v>46028</v>
      </c>
    </row>
    <row r="68" spans="1:14" x14ac:dyDescent="0.4">
      <c r="A68" t="s">
        <v>135</v>
      </c>
      <c r="B68">
        <v>248</v>
      </c>
      <c r="C68">
        <v>30</v>
      </c>
      <c r="D68" s="2">
        <v>46048.742361111108</v>
      </c>
      <c r="E68">
        <v>799</v>
      </c>
      <c r="F68" t="s">
        <v>63</v>
      </c>
      <c r="G68" t="s">
        <v>64</v>
      </c>
      <c r="H68">
        <v>55</v>
      </c>
      <c r="I68" t="str">
        <f>IFERROR(VLOOKUP($C68,Merchants!$A$2:$D$41,2,FALSE),"Merchant not found")</f>
        <v>Merchant_030</v>
      </c>
      <c r="J68" t="str">
        <f>IFERROR(VLOOKUP($C68,Merchants!$A$2:$D$41,3,FALSE),"Merchant not found")</f>
        <v>travel</v>
      </c>
      <c r="K68" t="str">
        <f>IFERROR(VLOOKUP($C68,Merchants!$A$2:$D$41,4,FALSE),"Merchant not found")</f>
        <v>West</v>
      </c>
      <c r="L68" s="3">
        <f>IFERROR(HLOOKUP(F68,Fee_Lookup!$B$1:$E$2,2,FALSE),"Method not found")</f>
        <v>7.4999999999999997E-3</v>
      </c>
      <c r="M68" s="6">
        <f t="shared" si="2"/>
        <v>5.9924999999999997</v>
      </c>
      <c r="N68" s="8">
        <f t="shared" si="3"/>
        <v>46048</v>
      </c>
    </row>
    <row r="69" spans="1:14" x14ac:dyDescent="0.4">
      <c r="A69" t="s">
        <v>136</v>
      </c>
      <c r="B69">
        <v>138</v>
      </c>
      <c r="C69">
        <v>21</v>
      </c>
      <c r="D69" s="2">
        <v>46049.984027777777</v>
      </c>
      <c r="E69">
        <v>49</v>
      </c>
      <c r="F69" t="s">
        <v>78</v>
      </c>
      <c r="G69" t="s">
        <v>64</v>
      </c>
      <c r="H69">
        <v>31</v>
      </c>
      <c r="I69" t="str">
        <f>IFERROR(VLOOKUP($C69,Merchants!$A$2:$D$41,2,FALSE),"Merchant not found")</f>
        <v>Merchant_021</v>
      </c>
      <c r="J69" t="str">
        <f>IFERROR(VLOOKUP($C69,Merchants!$A$2:$D$41,3,FALSE),"Merchant not found")</f>
        <v>food_delivery</v>
      </c>
      <c r="K69" t="str">
        <f>IFERROR(VLOOKUP($C69,Merchants!$A$2:$D$41,4,FALSE),"Merchant not found")</f>
        <v>East</v>
      </c>
      <c r="L69" s="3">
        <f>IFERROR(HLOOKUP(F69,Fee_Lookup!$B$1:$E$2,2,FALSE),"Method not found")</f>
        <v>1.2E-2</v>
      </c>
      <c r="M69" s="6">
        <f t="shared" si="2"/>
        <v>0.58799999999999997</v>
      </c>
      <c r="N69" s="8">
        <f t="shared" si="3"/>
        <v>46049</v>
      </c>
    </row>
    <row r="70" spans="1:14" x14ac:dyDescent="0.4">
      <c r="A70" t="s">
        <v>137</v>
      </c>
      <c r="B70">
        <v>231</v>
      </c>
      <c r="C70">
        <v>16</v>
      </c>
      <c r="D70" s="2">
        <v>46049.095138888886</v>
      </c>
      <c r="E70">
        <v>49</v>
      </c>
      <c r="F70" t="s">
        <v>66</v>
      </c>
      <c r="G70" t="s">
        <v>64</v>
      </c>
      <c r="H70">
        <v>96</v>
      </c>
      <c r="I70" t="str">
        <f>IFERROR(VLOOKUP($C70,Merchants!$A$2:$D$41,2,FALSE),"Merchant not found")</f>
        <v>Merchant_016</v>
      </c>
      <c r="J70" t="str">
        <f>IFERROR(VLOOKUP($C70,Merchants!$A$2:$D$41,3,FALSE),"Merchant not found")</f>
        <v>bill_payment</v>
      </c>
      <c r="K70" t="str">
        <f>IFERROR(VLOOKUP($C70,Merchants!$A$2:$D$41,4,FALSE),"Merchant not found")</f>
        <v>West</v>
      </c>
      <c r="L70" s="3">
        <f>IFERROR(HLOOKUP(F70,Fee_Lookup!$B$1:$E$2,2,FALSE),"Method not found")</f>
        <v>5.0000000000000001E-3</v>
      </c>
      <c r="M70" s="6">
        <f t="shared" si="2"/>
        <v>0.245</v>
      </c>
      <c r="N70" s="8">
        <f t="shared" si="3"/>
        <v>46049</v>
      </c>
    </row>
    <row r="71" spans="1:14" x14ac:dyDescent="0.4">
      <c r="A71" t="s">
        <v>138</v>
      </c>
      <c r="B71">
        <v>343</v>
      </c>
      <c r="C71">
        <v>25</v>
      </c>
      <c r="D71" s="2">
        <v>46037.777083333334</v>
      </c>
      <c r="E71">
        <v>49</v>
      </c>
      <c r="F71" t="s">
        <v>66</v>
      </c>
      <c r="G71" t="s">
        <v>64</v>
      </c>
      <c r="H71">
        <v>43</v>
      </c>
      <c r="I71" t="str">
        <f>IFERROR(VLOOKUP($C71,Merchants!$A$2:$D$41,2,FALSE),"Merchant not found")</f>
        <v>Merchant_025</v>
      </c>
      <c r="J71" t="str">
        <f>IFERROR(VLOOKUP($C71,Merchants!$A$2:$D$41,3,FALSE),"Merchant not found")</f>
        <v>travel</v>
      </c>
      <c r="K71" t="str">
        <f>IFERROR(VLOOKUP($C71,Merchants!$A$2:$D$41,4,FALSE),"Merchant not found")</f>
        <v>South</v>
      </c>
      <c r="L71" s="3">
        <f>IFERROR(HLOOKUP(F71,Fee_Lookup!$B$1:$E$2,2,FALSE),"Method not found")</f>
        <v>5.0000000000000001E-3</v>
      </c>
      <c r="M71" s="6">
        <f t="shared" si="2"/>
        <v>0.245</v>
      </c>
      <c r="N71" s="8">
        <f t="shared" si="3"/>
        <v>46037</v>
      </c>
    </row>
    <row r="72" spans="1:14" x14ac:dyDescent="0.4">
      <c r="A72" t="s">
        <v>139</v>
      </c>
      <c r="B72">
        <v>167</v>
      </c>
      <c r="C72">
        <v>12</v>
      </c>
      <c r="D72" s="2">
        <v>46023.662499999999</v>
      </c>
      <c r="E72">
        <v>499</v>
      </c>
      <c r="F72" t="s">
        <v>63</v>
      </c>
      <c r="G72" t="s">
        <v>64</v>
      </c>
      <c r="H72">
        <v>62</v>
      </c>
      <c r="I72" t="str">
        <f>IFERROR(VLOOKUP($C72,Merchants!$A$2:$D$41,2,FALSE),"Merchant not found")</f>
        <v>Merchant_012</v>
      </c>
      <c r="J72" t="str">
        <f>IFERROR(VLOOKUP($C72,Merchants!$A$2:$D$41,3,FALSE),"Merchant not found")</f>
        <v>ecommerce</v>
      </c>
      <c r="K72" t="str">
        <f>IFERROR(VLOOKUP($C72,Merchants!$A$2:$D$41,4,FALSE),"Merchant not found")</f>
        <v>East</v>
      </c>
      <c r="L72" s="3">
        <f>IFERROR(HLOOKUP(F72,Fee_Lookup!$B$1:$E$2,2,FALSE),"Method not found")</f>
        <v>7.4999999999999997E-3</v>
      </c>
      <c r="M72" s="6">
        <f t="shared" si="2"/>
        <v>3.7424999999999997</v>
      </c>
      <c r="N72" s="8">
        <f t="shared" si="3"/>
        <v>46023</v>
      </c>
    </row>
    <row r="73" spans="1:14" x14ac:dyDescent="0.4">
      <c r="A73" t="s">
        <v>140</v>
      </c>
      <c r="B73">
        <v>133</v>
      </c>
      <c r="C73">
        <v>22</v>
      </c>
      <c r="D73" s="2">
        <v>46029.493750000001</v>
      </c>
      <c r="E73">
        <v>499</v>
      </c>
      <c r="F73" t="s">
        <v>66</v>
      </c>
      <c r="G73" t="s">
        <v>64</v>
      </c>
      <c r="H73">
        <v>35</v>
      </c>
      <c r="I73" t="str">
        <f>IFERROR(VLOOKUP($C73,Merchants!$A$2:$D$41,2,FALSE),"Merchant not found")</f>
        <v>Merchant_022</v>
      </c>
      <c r="J73" t="str">
        <f>IFERROR(VLOOKUP($C73,Merchants!$A$2:$D$41,3,FALSE),"Merchant not found")</f>
        <v>travel</v>
      </c>
      <c r="K73" t="str">
        <f>IFERROR(VLOOKUP($C73,Merchants!$A$2:$D$41,4,FALSE),"Merchant not found")</f>
        <v>South</v>
      </c>
      <c r="L73" s="3">
        <f>IFERROR(HLOOKUP(F73,Fee_Lookup!$B$1:$E$2,2,FALSE),"Method not found")</f>
        <v>5.0000000000000001E-3</v>
      </c>
      <c r="M73" s="6">
        <f t="shared" si="2"/>
        <v>2.4950000000000001</v>
      </c>
      <c r="N73" s="8">
        <f t="shared" si="3"/>
        <v>46029</v>
      </c>
    </row>
    <row r="74" spans="1:14" x14ac:dyDescent="0.4">
      <c r="A74" t="s">
        <v>141</v>
      </c>
      <c r="B74">
        <v>142</v>
      </c>
      <c r="C74">
        <v>36</v>
      </c>
      <c r="D74" s="2">
        <v>46051.822222222225</v>
      </c>
      <c r="E74">
        <v>799</v>
      </c>
      <c r="F74" t="s">
        <v>63</v>
      </c>
      <c r="G74" t="s">
        <v>64</v>
      </c>
      <c r="H74">
        <v>1</v>
      </c>
      <c r="I74" t="str">
        <f>IFERROR(VLOOKUP($C74,Merchants!$A$2:$D$41,2,FALSE),"Merchant not found")</f>
        <v>Merchant_036</v>
      </c>
      <c r="J74" t="str">
        <f>IFERROR(VLOOKUP($C74,Merchants!$A$2:$D$41,3,FALSE),"Merchant not found")</f>
        <v>entertainment</v>
      </c>
      <c r="K74" t="str">
        <f>IFERROR(VLOOKUP($C74,Merchants!$A$2:$D$41,4,FALSE),"Merchant not found")</f>
        <v>East</v>
      </c>
      <c r="L74" s="3">
        <f>IFERROR(HLOOKUP(F74,Fee_Lookup!$B$1:$E$2,2,FALSE),"Method not found")</f>
        <v>7.4999999999999997E-3</v>
      </c>
      <c r="M74" s="6">
        <f t="shared" si="2"/>
        <v>5.9924999999999997</v>
      </c>
      <c r="N74" s="8">
        <f t="shared" si="3"/>
        <v>46051</v>
      </c>
    </row>
    <row r="75" spans="1:14" x14ac:dyDescent="0.4">
      <c r="A75" t="s">
        <v>142</v>
      </c>
      <c r="B75">
        <v>124</v>
      </c>
      <c r="C75">
        <v>27</v>
      </c>
      <c r="D75" s="2">
        <v>46039.253472222219</v>
      </c>
      <c r="E75">
        <v>499</v>
      </c>
      <c r="F75" t="s">
        <v>63</v>
      </c>
      <c r="G75" t="s">
        <v>64</v>
      </c>
      <c r="H75">
        <v>62</v>
      </c>
      <c r="I75" t="str">
        <f>IFERROR(VLOOKUP($C75,Merchants!$A$2:$D$41,2,FALSE),"Merchant not found")</f>
        <v>Merchant_027</v>
      </c>
      <c r="J75" t="str">
        <f>IFERROR(VLOOKUP($C75,Merchants!$A$2:$D$41,3,FALSE),"Merchant not found")</f>
        <v>ecommerce</v>
      </c>
      <c r="K75" t="str">
        <f>IFERROR(VLOOKUP($C75,Merchants!$A$2:$D$41,4,FALSE),"Merchant not found")</f>
        <v>North</v>
      </c>
      <c r="L75" s="3">
        <f>IFERROR(HLOOKUP(F75,Fee_Lookup!$B$1:$E$2,2,FALSE),"Method not found")</f>
        <v>7.4999999999999997E-3</v>
      </c>
      <c r="M75" s="6">
        <f t="shared" si="2"/>
        <v>3.7424999999999997</v>
      </c>
      <c r="N75" s="8">
        <f t="shared" si="3"/>
        <v>46039</v>
      </c>
    </row>
    <row r="76" spans="1:14" x14ac:dyDescent="0.4">
      <c r="A76" t="s">
        <v>143</v>
      </c>
      <c r="B76">
        <v>244</v>
      </c>
      <c r="C76">
        <v>32</v>
      </c>
      <c r="D76" s="2">
        <v>46040.322222222225</v>
      </c>
      <c r="E76">
        <v>149</v>
      </c>
      <c r="F76" t="s">
        <v>66</v>
      </c>
      <c r="G76" t="s">
        <v>64</v>
      </c>
      <c r="H76">
        <v>57</v>
      </c>
      <c r="I76" t="str">
        <f>IFERROR(VLOOKUP($C76,Merchants!$A$2:$D$41,2,FALSE),"Merchant not found")</f>
        <v>Merchant_032</v>
      </c>
      <c r="J76" t="str">
        <f>IFERROR(VLOOKUP($C76,Merchants!$A$2:$D$41,3,FALSE),"Merchant not found")</f>
        <v>food_delivery</v>
      </c>
      <c r="K76" t="str">
        <f>IFERROR(VLOOKUP($C76,Merchants!$A$2:$D$41,4,FALSE),"Merchant not found")</f>
        <v>West</v>
      </c>
      <c r="L76" s="3">
        <f>IFERROR(HLOOKUP(F76,Fee_Lookup!$B$1:$E$2,2,FALSE),"Method not found")</f>
        <v>5.0000000000000001E-3</v>
      </c>
      <c r="M76" s="6">
        <f t="shared" si="2"/>
        <v>0.745</v>
      </c>
      <c r="N76" s="8">
        <f t="shared" si="3"/>
        <v>46040</v>
      </c>
    </row>
    <row r="77" spans="1:14" x14ac:dyDescent="0.4">
      <c r="A77" t="s">
        <v>144</v>
      </c>
      <c r="B77">
        <v>151</v>
      </c>
      <c r="C77">
        <v>15</v>
      </c>
      <c r="D77" s="2">
        <v>46048.003472222219</v>
      </c>
      <c r="E77">
        <v>4999</v>
      </c>
      <c r="F77" t="s">
        <v>66</v>
      </c>
      <c r="G77" t="s">
        <v>64</v>
      </c>
      <c r="H77">
        <v>51</v>
      </c>
      <c r="I77" t="str">
        <f>IFERROR(VLOOKUP($C77,Merchants!$A$2:$D$41,2,FALSE),"Merchant not found")</f>
        <v>Merchant_015</v>
      </c>
      <c r="J77" t="str">
        <f>IFERROR(VLOOKUP($C77,Merchants!$A$2:$D$41,3,FALSE),"Merchant not found")</f>
        <v>travel</v>
      </c>
      <c r="K77" t="str">
        <f>IFERROR(VLOOKUP($C77,Merchants!$A$2:$D$41,4,FALSE),"Merchant not found")</f>
        <v>North</v>
      </c>
      <c r="L77" s="3">
        <f>IFERROR(HLOOKUP(F77,Fee_Lookup!$B$1:$E$2,2,FALSE),"Method not found")</f>
        <v>5.0000000000000001E-3</v>
      </c>
      <c r="M77" s="6">
        <f t="shared" si="2"/>
        <v>24.995000000000001</v>
      </c>
      <c r="N77" s="8">
        <f t="shared" si="3"/>
        <v>46048</v>
      </c>
    </row>
    <row r="78" spans="1:14" x14ac:dyDescent="0.4">
      <c r="A78" t="s">
        <v>145</v>
      </c>
      <c r="B78">
        <v>340</v>
      </c>
      <c r="C78">
        <v>38</v>
      </c>
      <c r="D78" s="2">
        <v>46045.304861111108</v>
      </c>
      <c r="E78">
        <v>499</v>
      </c>
      <c r="F78" t="s">
        <v>78</v>
      </c>
      <c r="G78" t="s">
        <v>64</v>
      </c>
      <c r="H78">
        <v>47</v>
      </c>
      <c r="I78" t="str">
        <f>IFERROR(VLOOKUP($C78,Merchants!$A$2:$D$41,2,FALSE),"Merchant not found")</f>
        <v>Merchant_038</v>
      </c>
      <c r="J78" t="str">
        <f>IFERROR(VLOOKUP($C78,Merchants!$A$2:$D$41,3,FALSE),"Merchant not found")</f>
        <v>grocery</v>
      </c>
      <c r="K78" t="str">
        <f>IFERROR(VLOOKUP($C78,Merchants!$A$2:$D$41,4,FALSE),"Merchant not found")</f>
        <v>East</v>
      </c>
      <c r="L78" s="3">
        <f>IFERROR(HLOOKUP(F78,Fee_Lookup!$B$1:$E$2,2,FALSE),"Method not found")</f>
        <v>1.2E-2</v>
      </c>
      <c r="M78" s="6">
        <f t="shared" si="2"/>
        <v>5.9880000000000004</v>
      </c>
      <c r="N78" s="8">
        <f t="shared" si="3"/>
        <v>46045</v>
      </c>
    </row>
    <row r="79" spans="1:14" x14ac:dyDescent="0.4">
      <c r="A79" t="s">
        <v>146</v>
      </c>
      <c r="B79">
        <v>177</v>
      </c>
      <c r="C79">
        <v>28</v>
      </c>
      <c r="D79" s="2">
        <v>46038.731249999997</v>
      </c>
      <c r="E79">
        <v>299</v>
      </c>
      <c r="F79" t="s">
        <v>66</v>
      </c>
      <c r="G79" t="s">
        <v>64</v>
      </c>
      <c r="H79">
        <v>95</v>
      </c>
      <c r="I79" t="str">
        <f>IFERROR(VLOOKUP($C79,Merchants!$A$2:$D$41,2,FALSE),"Merchant not found")</f>
        <v>Merchant_028</v>
      </c>
      <c r="J79" t="str">
        <f>IFERROR(VLOOKUP($C79,Merchants!$A$2:$D$41,3,FALSE),"Merchant not found")</f>
        <v>ecommerce</v>
      </c>
      <c r="K79" t="str">
        <f>IFERROR(VLOOKUP($C79,Merchants!$A$2:$D$41,4,FALSE),"Merchant not found")</f>
        <v>South</v>
      </c>
      <c r="L79" s="3">
        <f>IFERROR(HLOOKUP(F79,Fee_Lookup!$B$1:$E$2,2,FALSE),"Method not found")</f>
        <v>5.0000000000000001E-3</v>
      </c>
      <c r="M79" s="6">
        <f t="shared" si="2"/>
        <v>1.4950000000000001</v>
      </c>
      <c r="N79" s="8">
        <f t="shared" si="3"/>
        <v>46038</v>
      </c>
    </row>
    <row r="80" spans="1:14" x14ac:dyDescent="0.4">
      <c r="A80" t="s">
        <v>147</v>
      </c>
      <c r="B80">
        <v>233</v>
      </c>
      <c r="C80">
        <v>18</v>
      </c>
      <c r="D80" s="2">
        <v>46040.431944444441</v>
      </c>
      <c r="E80">
        <v>499</v>
      </c>
      <c r="F80" t="s">
        <v>66</v>
      </c>
      <c r="G80" t="s">
        <v>64</v>
      </c>
      <c r="H80">
        <v>39</v>
      </c>
      <c r="I80" t="str">
        <f>IFERROR(VLOOKUP($C80,Merchants!$A$2:$D$41,2,FALSE),"Merchant not found")</f>
        <v>Merchant_018</v>
      </c>
      <c r="J80" t="str">
        <f>IFERROR(VLOOKUP($C80,Merchants!$A$2:$D$41,3,FALSE),"Merchant not found")</f>
        <v>grocery</v>
      </c>
      <c r="K80" t="str">
        <f>IFERROR(VLOOKUP($C80,Merchants!$A$2:$D$41,4,FALSE),"Merchant not found")</f>
        <v>West</v>
      </c>
      <c r="L80" s="3">
        <f>IFERROR(HLOOKUP(F80,Fee_Lookup!$B$1:$E$2,2,FALSE),"Method not found")</f>
        <v>5.0000000000000001E-3</v>
      </c>
      <c r="M80" s="6">
        <f t="shared" si="2"/>
        <v>2.4950000000000001</v>
      </c>
      <c r="N80" s="8">
        <f t="shared" si="3"/>
        <v>46040</v>
      </c>
    </row>
    <row r="81" spans="1:14" x14ac:dyDescent="0.4">
      <c r="A81" t="s">
        <v>148</v>
      </c>
      <c r="B81">
        <v>99</v>
      </c>
      <c r="C81">
        <v>21</v>
      </c>
      <c r="D81" s="2">
        <v>46031.296527777777</v>
      </c>
      <c r="E81">
        <v>499</v>
      </c>
      <c r="F81" t="s">
        <v>66</v>
      </c>
      <c r="G81" t="s">
        <v>64</v>
      </c>
      <c r="H81">
        <v>15</v>
      </c>
      <c r="I81" t="str">
        <f>IFERROR(VLOOKUP($C81,Merchants!$A$2:$D$41,2,FALSE),"Merchant not found")</f>
        <v>Merchant_021</v>
      </c>
      <c r="J81" t="str">
        <f>IFERROR(VLOOKUP($C81,Merchants!$A$2:$D$41,3,FALSE),"Merchant not found")</f>
        <v>food_delivery</v>
      </c>
      <c r="K81" t="str">
        <f>IFERROR(VLOOKUP($C81,Merchants!$A$2:$D$41,4,FALSE),"Merchant not found")</f>
        <v>East</v>
      </c>
      <c r="L81" s="3">
        <f>IFERROR(HLOOKUP(F81,Fee_Lookup!$B$1:$E$2,2,FALSE),"Method not found")</f>
        <v>5.0000000000000001E-3</v>
      </c>
      <c r="M81" s="6">
        <f t="shared" si="2"/>
        <v>2.4950000000000001</v>
      </c>
      <c r="N81" s="8">
        <f t="shared" si="3"/>
        <v>46031</v>
      </c>
    </row>
    <row r="82" spans="1:14" x14ac:dyDescent="0.4">
      <c r="A82" t="s">
        <v>149</v>
      </c>
      <c r="B82">
        <v>95</v>
      </c>
      <c r="C82">
        <v>13</v>
      </c>
      <c r="D82" s="2">
        <v>46046.741666666669</v>
      </c>
      <c r="E82">
        <v>2999</v>
      </c>
      <c r="F82" t="s">
        <v>69</v>
      </c>
      <c r="G82" t="s">
        <v>79</v>
      </c>
      <c r="H82">
        <v>27</v>
      </c>
      <c r="I82" t="str">
        <f>IFERROR(VLOOKUP($C82,Merchants!$A$2:$D$41,2,FALSE),"Merchant not found")</f>
        <v>Merchant_013</v>
      </c>
      <c r="J82" t="str">
        <f>IFERROR(VLOOKUP($C82,Merchants!$A$2:$D$41,3,FALSE),"Merchant not found")</f>
        <v>travel</v>
      </c>
      <c r="K82" t="str">
        <f>IFERROR(VLOOKUP($C82,Merchants!$A$2:$D$41,4,FALSE),"Merchant not found")</f>
        <v>East</v>
      </c>
      <c r="L82" s="3">
        <f>IFERROR(HLOOKUP(F82,Fee_Lookup!$B$1:$E$2,2,FALSE),"Method not found")</f>
        <v>0.01</v>
      </c>
      <c r="M82" s="6">
        <f t="shared" si="2"/>
        <v>29.990000000000002</v>
      </c>
      <c r="N82" s="8">
        <f t="shared" si="3"/>
        <v>46046</v>
      </c>
    </row>
    <row r="83" spans="1:14" x14ac:dyDescent="0.4">
      <c r="A83" t="s">
        <v>150</v>
      </c>
      <c r="B83">
        <v>302</v>
      </c>
      <c r="C83">
        <v>34</v>
      </c>
      <c r="D83" s="2">
        <v>46046.636805555558</v>
      </c>
      <c r="E83">
        <v>49</v>
      </c>
      <c r="F83" t="s">
        <v>69</v>
      </c>
      <c r="G83" t="s">
        <v>64</v>
      </c>
      <c r="H83">
        <v>76</v>
      </c>
      <c r="I83" t="str">
        <f>IFERROR(VLOOKUP($C83,Merchants!$A$2:$D$41,2,FALSE),"Merchant not found")</f>
        <v>Merchant_034</v>
      </c>
      <c r="J83" t="str">
        <f>IFERROR(VLOOKUP($C83,Merchants!$A$2:$D$41,3,FALSE),"Merchant not found")</f>
        <v>travel</v>
      </c>
      <c r="K83" t="str">
        <f>IFERROR(VLOOKUP($C83,Merchants!$A$2:$D$41,4,FALSE),"Merchant not found")</f>
        <v>South</v>
      </c>
      <c r="L83" s="3">
        <f>IFERROR(HLOOKUP(F83,Fee_Lookup!$B$1:$E$2,2,FALSE),"Method not found")</f>
        <v>0.01</v>
      </c>
      <c r="M83" s="6">
        <f t="shared" si="2"/>
        <v>0.49</v>
      </c>
      <c r="N83" s="8">
        <f t="shared" si="3"/>
        <v>46046</v>
      </c>
    </row>
    <row r="84" spans="1:14" x14ac:dyDescent="0.4">
      <c r="A84" t="s">
        <v>151</v>
      </c>
      <c r="B84">
        <v>100</v>
      </c>
      <c r="C84">
        <v>19</v>
      </c>
      <c r="D84" s="2">
        <v>46032.161805555559</v>
      </c>
      <c r="E84">
        <v>2999</v>
      </c>
      <c r="F84" t="s">
        <v>69</v>
      </c>
      <c r="G84" t="s">
        <v>64</v>
      </c>
      <c r="H84">
        <v>29</v>
      </c>
      <c r="I84" t="str">
        <f>IFERROR(VLOOKUP($C84,Merchants!$A$2:$D$41,2,FALSE),"Merchant not found")</f>
        <v>Merchant_019</v>
      </c>
      <c r="J84" t="str">
        <f>IFERROR(VLOOKUP($C84,Merchants!$A$2:$D$41,3,FALSE),"Merchant not found")</f>
        <v>grocery</v>
      </c>
      <c r="K84" t="str">
        <f>IFERROR(VLOOKUP($C84,Merchants!$A$2:$D$41,4,FALSE),"Merchant not found")</f>
        <v>North</v>
      </c>
      <c r="L84" s="3">
        <f>IFERROR(HLOOKUP(F84,Fee_Lookup!$B$1:$E$2,2,FALSE),"Method not found")</f>
        <v>0.01</v>
      </c>
      <c r="M84" s="6">
        <f t="shared" si="2"/>
        <v>29.990000000000002</v>
      </c>
      <c r="N84" s="8">
        <f t="shared" si="3"/>
        <v>46032</v>
      </c>
    </row>
    <row r="85" spans="1:14" x14ac:dyDescent="0.4">
      <c r="A85" t="s">
        <v>152</v>
      </c>
      <c r="B85">
        <v>8</v>
      </c>
      <c r="C85">
        <v>35</v>
      </c>
      <c r="D85" s="2">
        <v>46034.22152777778</v>
      </c>
      <c r="E85">
        <v>99</v>
      </c>
      <c r="F85" t="s">
        <v>66</v>
      </c>
      <c r="G85" t="s">
        <v>64</v>
      </c>
      <c r="H85">
        <v>16</v>
      </c>
      <c r="I85" t="str">
        <f>IFERROR(VLOOKUP($C85,Merchants!$A$2:$D$41,2,FALSE),"Merchant not found")</f>
        <v>Merchant_035</v>
      </c>
      <c r="J85" t="str">
        <f>IFERROR(VLOOKUP($C85,Merchants!$A$2:$D$41,3,FALSE),"Merchant not found")</f>
        <v>recharge</v>
      </c>
      <c r="K85" t="str">
        <f>IFERROR(VLOOKUP($C85,Merchants!$A$2:$D$41,4,FALSE),"Merchant not found")</f>
        <v>East</v>
      </c>
      <c r="L85" s="3">
        <f>IFERROR(HLOOKUP(F85,Fee_Lookup!$B$1:$E$2,2,FALSE),"Method not found")</f>
        <v>5.0000000000000001E-3</v>
      </c>
      <c r="M85" s="6">
        <f t="shared" si="2"/>
        <v>0.495</v>
      </c>
      <c r="N85" s="8">
        <f t="shared" si="3"/>
        <v>46034</v>
      </c>
    </row>
    <row r="86" spans="1:14" x14ac:dyDescent="0.4">
      <c r="A86" t="s">
        <v>153</v>
      </c>
      <c r="B86">
        <v>284</v>
      </c>
      <c r="C86">
        <v>19</v>
      </c>
      <c r="D86" s="2">
        <v>46031.043749999997</v>
      </c>
      <c r="E86">
        <v>99</v>
      </c>
      <c r="F86" t="s">
        <v>66</v>
      </c>
      <c r="G86" t="s">
        <v>64</v>
      </c>
      <c r="H86">
        <v>89</v>
      </c>
      <c r="I86" t="str">
        <f>IFERROR(VLOOKUP($C86,Merchants!$A$2:$D$41,2,FALSE),"Merchant not found")</f>
        <v>Merchant_019</v>
      </c>
      <c r="J86" t="str">
        <f>IFERROR(VLOOKUP($C86,Merchants!$A$2:$D$41,3,FALSE),"Merchant not found")</f>
        <v>grocery</v>
      </c>
      <c r="K86" t="str">
        <f>IFERROR(VLOOKUP($C86,Merchants!$A$2:$D$41,4,FALSE),"Merchant not found")</f>
        <v>North</v>
      </c>
      <c r="L86" s="3">
        <f>IFERROR(HLOOKUP(F86,Fee_Lookup!$B$1:$E$2,2,FALSE),"Method not found")</f>
        <v>5.0000000000000001E-3</v>
      </c>
      <c r="M86" s="6">
        <f t="shared" si="2"/>
        <v>0.495</v>
      </c>
      <c r="N86" s="8">
        <f t="shared" si="3"/>
        <v>46031</v>
      </c>
    </row>
    <row r="87" spans="1:14" x14ac:dyDescent="0.4">
      <c r="A87" t="s">
        <v>154</v>
      </c>
      <c r="B87">
        <v>252</v>
      </c>
      <c r="C87">
        <v>7</v>
      </c>
      <c r="D87" s="2">
        <v>46027.871527777781</v>
      </c>
      <c r="E87">
        <v>2999</v>
      </c>
      <c r="F87" t="s">
        <v>63</v>
      </c>
      <c r="G87" t="s">
        <v>64</v>
      </c>
      <c r="H87">
        <v>1</v>
      </c>
      <c r="I87" t="str">
        <f>IFERROR(VLOOKUP($C87,Merchants!$A$2:$D$41,2,FALSE),"Merchant not found")</f>
        <v>Merchant_007</v>
      </c>
      <c r="J87" t="str">
        <f>IFERROR(VLOOKUP($C87,Merchants!$A$2:$D$41,3,FALSE),"Merchant not found")</f>
        <v>food_delivery</v>
      </c>
      <c r="K87" t="str">
        <f>IFERROR(VLOOKUP($C87,Merchants!$A$2:$D$41,4,FALSE),"Merchant not found")</f>
        <v>East</v>
      </c>
      <c r="L87" s="3">
        <f>IFERROR(HLOOKUP(F87,Fee_Lookup!$B$1:$E$2,2,FALSE),"Method not found")</f>
        <v>7.4999999999999997E-3</v>
      </c>
      <c r="M87" s="6">
        <f t="shared" si="2"/>
        <v>22.4925</v>
      </c>
      <c r="N87" s="8">
        <f t="shared" si="3"/>
        <v>46027</v>
      </c>
    </row>
    <row r="88" spans="1:14" x14ac:dyDescent="0.4">
      <c r="A88" t="s">
        <v>155</v>
      </c>
      <c r="B88">
        <v>246</v>
      </c>
      <c r="C88">
        <v>29</v>
      </c>
      <c r="D88" s="2">
        <v>46041.395833333336</v>
      </c>
      <c r="E88">
        <v>49</v>
      </c>
      <c r="F88" t="s">
        <v>63</v>
      </c>
      <c r="G88" t="s">
        <v>64</v>
      </c>
      <c r="H88">
        <v>43</v>
      </c>
      <c r="I88" t="str">
        <f>IFERROR(VLOOKUP($C88,Merchants!$A$2:$D$41,2,FALSE),"Merchant not found")</f>
        <v>Merchant_029</v>
      </c>
      <c r="J88" t="str">
        <f>IFERROR(VLOOKUP($C88,Merchants!$A$2:$D$41,3,FALSE),"Merchant not found")</f>
        <v>ecommerce</v>
      </c>
      <c r="K88" t="str">
        <f>IFERROR(VLOOKUP($C88,Merchants!$A$2:$D$41,4,FALSE),"Merchant not found")</f>
        <v>North</v>
      </c>
      <c r="L88" s="3">
        <f>IFERROR(HLOOKUP(F88,Fee_Lookup!$B$1:$E$2,2,FALSE),"Method not found")</f>
        <v>7.4999999999999997E-3</v>
      </c>
      <c r="M88" s="6">
        <f t="shared" si="2"/>
        <v>0.36749999999999999</v>
      </c>
      <c r="N88" s="8">
        <f t="shared" si="3"/>
        <v>46041</v>
      </c>
    </row>
    <row r="89" spans="1:14" x14ac:dyDescent="0.4">
      <c r="A89" t="s">
        <v>156</v>
      </c>
      <c r="B89">
        <v>245</v>
      </c>
      <c r="C89">
        <v>8</v>
      </c>
      <c r="D89" s="2">
        <v>46028.052777777775</v>
      </c>
      <c r="E89">
        <v>49</v>
      </c>
      <c r="F89" t="s">
        <v>66</v>
      </c>
      <c r="G89" t="s">
        <v>92</v>
      </c>
      <c r="H89">
        <v>8</v>
      </c>
      <c r="I89" t="str">
        <f>IFERROR(VLOOKUP($C89,Merchants!$A$2:$D$41,2,FALSE),"Merchant not found")</f>
        <v>Merchant_008</v>
      </c>
      <c r="J89" t="str">
        <f>IFERROR(VLOOKUP($C89,Merchants!$A$2:$D$41,3,FALSE),"Merchant not found")</f>
        <v>food_delivery</v>
      </c>
      <c r="K89" t="str">
        <f>IFERROR(VLOOKUP($C89,Merchants!$A$2:$D$41,4,FALSE),"Merchant not found")</f>
        <v>North</v>
      </c>
      <c r="L89" s="3">
        <f>IFERROR(HLOOKUP(F89,Fee_Lookup!$B$1:$E$2,2,FALSE),"Method not found")</f>
        <v>5.0000000000000001E-3</v>
      </c>
      <c r="M89" s="6">
        <f t="shared" si="2"/>
        <v>0.245</v>
      </c>
      <c r="N89" s="8">
        <f t="shared" si="3"/>
        <v>46028</v>
      </c>
    </row>
    <row r="90" spans="1:14" x14ac:dyDescent="0.4">
      <c r="A90" t="s">
        <v>157</v>
      </c>
      <c r="B90">
        <v>296</v>
      </c>
      <c r="C90">
        <v>4</v>
      </c>
      <c r="D90" s="2">
        <v>46035.62777777778</v>
      </c>
      <c r="E90">
        <v>799</v>
      </c>
      <c r="F90" t="s">
        <v>63</v>
      </c>
      <c r="G90" t="s">
        <v>64</v>
      </c>
      <c r="H90">
        <v>19</v>
      </c>
      <c r="I90" t="str">
        <f>IFERROR(VLOOKUP($C90,Merchants!$A$2:$D$41,2,FALSE),"Merchant not found")</f>
        <v>Merchant_004</v>
      </c>
      <c r="J90" t="str">
        <f>IFERROR(VLOOKUP($C90,Merchants!$A$2:$D$41,3,FALSE),"Merchant not found")</f>
        <v>ecommerce</v>
      </c>
      <c r="K90" t="str">
        <f>IFERROR(VLOOKUP($C90,Merchants!$A$2:$D$41,4,FALSE),"Merchant not found")</f>
        <v>East</v>
      </c>
      <c r="L90" s="3">
        <f>IFERROR(HLOOKUP(F90,Fee_Lookup!$B$1:$E$2,2,FALSE),"Method not found")</f>
        <v>7.4999999999999997E-3</v>
      </c>
      <c r="M90" s="6">
        <f t="shared" si="2"/>
        <v>5.9924999999999997</v>
      </c>
      <c r="N90" s="8">
        <f t="shared" si="3"/>
        <v>46035</v>
      </c>
    </row>
    <row r="91" spans="1:14" x14ac:dyDescent="0.4">
      <c r="A91" t="s">
        <v>158</v>
      </c>
      <c r="B91">
        <v>44</v>
      </c>
      <c r="C91">
        <v>16</v>
      </c>
      <c r="D91" s="2">
        <v>46027.763194444444</v>
      </c>
      <c r="E91">
        <v>149</v>
      </c>
      <c r="F91" t="s">
        <v>66</v>
      </c>
      <c r="G91" t="s">
        <v>64</v>
      </c>
      <c r="H91">
        <v>15</v>
      </c>
      <c r="I91" t="str">
        <f>IFERROR(VLOOKUP($C91,Merchants!$A$2:$D$41,2,FALSE),"Merchant not found")</f>
        <v>Merchant_016</v>
      </c>
      <c r="J91" t="str">
        <f>IFERROR(VLOOKUP($C91,Merchants!$A$2:$D$41,3,FALSE),"Merchant not found")</f>
        <v>bill_payment</v>
      </c>
      <c r="K91" t="str">
        <f>IFERROR(VLOOKUP($C91,Merchants!$A$2:$D$41,4,FALSE),"Merchant not found")</f>
        <v>West</v>
      </c>
      <c r="L91" s="3">
        <f>IFERROR(HLOOKUP(F91,Fee_Lookup!$B$1:$E$2,2,FALSE),"Method not found")</f>
        <v>5.0000000000000001E-3</v>
      </c>
      <c r="M91" s="6">
        <f t="shared" si="2"/>
        <v>0.745</v>
      </c>
      <c r="N91" s="8">
        <f t="shared" si="3"/>
        <v>46027</v>
      </c>
    </row>
    <row r="92" spans="1:14" x14ac:dyDescent="0.4">
      <c r="A92" t="s">
        <v>159</v>
      </c>
      <c r="B92">
        <v>306</v>
      </c>
      <c r="C92">
        <v>40</v>
      </c>
      <c r="D92" s="2">
        <v>46040.568055555559</v>
      </c>
      <c r="E92">
        <v>799</v>
      </c>
      <c r="F92" t="s">
        <v>78</v>
      </c>
      <c r="G92" t="s">
        <v>64</v>
      </c>
      <c r="H92">
        <v>28</v>
      </c>
      <c r="I92" t="str">
        <f>IFERROR(VLOOKUP($C92,Merchants!$A$2:$D$41,2,FALSE),"Merchant not found")</f>
        <v>Merchant_040</v>
      </c>
      <c r="J92" t="str">
        <f>IFERROR(VLOOKUP($C92,Merchants!$A$2:$D$41,3,FALSE),"Merchant not found")</f>
        <v>entertainment</v>
      </c>
      <c r="K92" t="str">
        <f>IFERROR(VLOOKUP($C92,Merchants!$A$2:$D$41,4,FALSE),"Merchant not found")</f>
        <v>South</v>
      </c>
      <c r="L92" s="3">
        <f>IFERROR(HLOOKUP(F92,Fee_Lookup!$B$1:$E$2,2,FALSE),"Method not found")</f>
        <v>1.2E-2</v>
      </c>
      <c r="M92" s="6">
        <f t="shared" si="2"/>
        <v>9.588000000000001</v>
      </c>
      <c r="N92" s="8">
        <f t="shared" si="3"/>
        <v>46040</v>
      </c>
    </row>
    <row r="93" spans="1:14" x14ac:dyDescent="0.4">
      <c r="A93" t="s">
        <v>160</v>
      </c>
      <c r="B93">
        <v>231</v>
      </c>
      <c r="C93">
        <v>29</v>
      </c>
      <c r="D93" s="2">
        <v>46047.683333333334</v>
      </c>
      <c r="E93">
        <v>299</v>
      </c>
      <c r="F93" t="s">
        <v>66</v>
      </c>
      <c r="G93" t="s">
        <v>64</v>
      </c>
      <c r="H93">
        <v>38</v>
      </c>
      <c r="I93" t="str">
        <f>IFERROR(VLOOKUP($C93,Merchants!$A$2:$D$41,2,FALSE),"Merchant not found")</f>
        <v>Merchant_029</v>
      </c>
      <c r="J93" t="str">
        <f>IFERROR(VLOOKUP($C93,Merchants!$A$2:$D$41,3,FALSE),"Merchant not found")</f>
        <v>ecommerce</v>
      </c>
      <c r="K93" t="str">
        <f>IFERROR(VLOOKUP($C93,Merchants!$A$2:$D$41,4,FALSE),"Merchant not found")</f>
        <v>North</v>
      </c>
      <c r="L93" s="3">
        <f>IFERROR(HLOOKUP(F93,Fee_Lookup!$B$1:$E$2,2,FALSE),"Method not found")</f>
        <v>5.0000000000000001E-3</v>
      </c>
      <c r="M93" s="6">
        <f t="shared" si="2"/>
        <v>1.4950000000000001</v>
      </c>
      <c r="N93" s="8">
        <f t="shared" si="3"/>
        <v>46047</v>
      </c>
    </row>
    <row r="94" spans="1:14" x14ac:dyDescent="0.4">
      <c r="A94" t="s">
        <v>161</v>
      </c>
      <c r="B94">
        <v>157</v>
      </c>
      <c r="C94">
        <v>37</v>
      </c>
      <c r="D94" s="2">
        <v>46050.768750000003</v>
      </c>
      <c r="E94">
        <v>499</v>
      </c>
      <c r="F94" t="s">
        <v>63</v>
      </c>
      <c r="G94" t="s">
        <v>64</v>
      </c>
      <c r="H94">
        <v>79</v>
      </c>
      <c r="I94" t="str">
        <f>IFERROR(VLOOKUP($C94,Merchants!$A$2:$D$41,2,FALSE),"Merchant not found")</f>
        <v>Merchant_037</v>
      </c>
      <c r="J94" t="str">
        <f>IFERROR(VLOOKUP($C94,Merchants!$A$2:$D$41,3,FALSE),"Merchant not found")</f>
        <v>entertainment</v>
      </c>
      <c r="K94" t="str">
        <f>IFERROR(VLOOKUP($C94,Merchants!$A$2:$D$41,4,FALSE),"Merchant not found")</f>
        <v>South</v>
      </c>
      <c r="L94" s="3">
        <f>IFERROR(HLOOKUP(F94,Fee_Lookup!$B$1:$E$2,2,FALSE),"Method not found")</f>
        <v>7.4999999999999997E-3</v>
      </c>
      <c r="M94" s="6">
        <f t="shared" si="2"/>
        <v>3.7424999999999997</v>
      </c>
      <c r="N94" s="8">
        <f t="shared" si="3"/>
        <v>46050</v>
      </c>
    </row>
    <row r="95" spans="1:14" x14ac:dyDescent="0.4">
      <c r="A95" t="s">
        <v>162</v>
      </c>
      <c r="B95">
        <v>51</v>
      </c>
      <c r="C95">
        <v>14</v>
      </c>
      <c r="D95" s="2">
        <v>46024.824305555558</v>
      </c>
      <c r="E95">
        <v>1499</v>
      </c>
      <c r="F95" t="s">
        <v>66</v>
      </c>
      <c r="G95" t="s">
        <v>64</v>
      </c>
      <c r="H95">
        <v>80</v>
      </c>
      <c r="I95" t="str">
        <f>IFERROR(VLOOKUP($C95,Merchants!$A$2:$D$41,2,FALSE),"Merchant not found")</f>
        <v>Merchant_014</v>
      </c>
      <c r="J95" t="str">
        <f>IFERROR(VLOOKUP($C95,Merchants!$A$2:$D$41,3,FALSE),"Merchant not found")</f>
        <v>grocery</v>
      </c>
      <c r="K95" t="str">
        <f>IFERROR(VLOOKUP($C95,Merchants!$A$2:$D$41,4,FALSE),"Merchant not found")</f>
        <v>East</v>
      </c>
      <c r="L95" s="3">
        <f>IFERROR(HLOOKUP(F95,Fee_Lookup!$B$1:$E$2,2,FALSE),"Method not found")</f>
        <v>5.0000000000000001E-3</v>
      </c>
      <c r="M95" s="6">
        <f t="shared" si="2"/>
        <v>7.4950000000000001</v>
      </c>
      <c r="N95" s="8">
        <f t="shared" si="3"/>
        <v>46024</v>
      </c>
    </row>
    <row r="96" spans="1:14" x14ac:dyDescent="0.4">
      <c r="A96" t="s">
        <v>163</v>
      </c>
      <c r="B96">
        <v>42</v>
      </c>
      <c r="C96">
        <v>11</v>
      </c>
      <c r="D96" s="2">
        <v>46029.362500000003</v>
      </c>
      <c r="E96">
        <v>49</v>
      </c>
      <c r="F96" t="s">
        <v>63</v>
      </c>
      <c r="G96" t="s">
        <v>64</v>
      </c>
      <c r="H96">
        <v>30</v>
      </c>
      <c r="I96" t="str">
        <f>IFERROR(VLOOKUP($C96,Merchants!$A$2:$D$41,2,FALSE),"Merchant not found")</f>
        <v>Merchant_011</v>
      </c>
      <c r="J96" t="str">
        <f>IFERROR(VLOOKUP($C96,Merchants!$A$2:$D$41,3,FALSE),"Merchant not found")</f>
        <v>ecommerce</v>
      </c>
      <c r="K96" t="str">
        <f>IFERROR(VLOOKUP($C96,Merchants!$A$2:$D$41,4,FALSE),"Merchant not found")</f>
        <v>North</v>
      </c>
      <c r="L96" s="3">
        <f>IFERROR(HLOOKUP(F96,Fee_Lookup!$B$1:$E$2,2,FALSE),"Method not found")</f>
        <v>7.4999999999999997E-3</v>
      </c>
      <c r="M96" s="6">
        <f t="shared" si="2"/>
        <v>0.36749999999999999</v>
      </c>
      <c r="N96" s="8">
        <f t="shared" si="3"/>
        <v>46029</v>
      </c>
    </row>
    <row r="97" spans="1:14" x14ac:dyDescent="0.4">
      <c r="A97" t="s">
        <v>164</v>
      </c>
      <c r="B97">
        <v>81</v>
      </c>
      <c r="C97">
        <v>1</v>
      </c>
      <c r="D97" s="2">
        <v>46028.711111111108</v>
      </c>
      <c r="E97">
        <v>149</v>
      </c>
      <c r="F97" t="s">
        <v>66</v>
      </c>
      <c r="G97" t="s">
        <v>64</v>
      </c>
      <c r="H97">
        <v>52</v>
      </c>
      <c r="I97" t="str">
        <f>IFERROR(VLOOKUP($C97,Merchants!$A$2:$D$41,2,FALSE),"Merchant not found")</f>
        <v>Merchant_001</v>
      </c>
      <c r="J97" t="str">
        <f>IFERROR(VLOOKUP($C97,Merchants!$A$2:$D$41,3,FALSE),"Merchant not found")</f>
        <v>ecommerce</v>
      </c>
      <c r="K97" t="str">
        <f>IFERROR(VLOOKUP($C97,Merchants!$A$2:$D$41,4,FALSE),"Merchant not found")</f>
        <v>South</v>
      </c>
      <c r="L97" s="3">
        <f>IFERROR(HLOOKUP(F97,Fee_Lookup!$B$1:$E$2,2,FALSE),"Method not found")</f>
        <v>5.0000000000000001E-3</v>
      </c>
      <c r="M97" s="6">
        <f t="shared" si="2"/>
        <v>0.745</v>
      </c>
      <c r="N97" s="8">
        <f t="shared" si="3"/>
        <v>46028</v>
      </c>
    </row>
    <row r="98" spans="1:14" x14ac:dyDescent="0.4">
      <c r="A98" t="s">
        <v>165</v>
      </c>
      <c r="B98">
        <v>241</v>
      </c>
      <c r="C98">
        <v>19</v>
      </c>
      <c r="D98" s="2">
        <v>46037.943055555559</v>
      </c>
      <c r="E98">
        <v>299</v>
      </c>
      <c r="F98" t="s">
        <v>66</v>
      </c>
      <c r="G98" t="s">
        <v>64</v>
      </c>
      <c r="H98">
        <v>4</v>
      </c>
      <c r="I98" t="str">
        <f>IFERROR(VLOOKUP($C98,Merchants!$A$2:$D$41,2,FALSE),"Merchant not found")</f>
        <v>Merchant_019</v>
      </c>
      <c r="J98" t="str">
        <f>IFERROR(VLOOKUP($C98,Merchants!$A$2:$D$41,3,FALSE),"Merchant not found")</f>
        <v>grocery</v>
      </c>
      <c r="K98" t="str">
        <f>IFERROR(VLOOKUP($C98,Merchants!$A$2:$D$41,4,FALSE),"Merchant not found")</f>
        <v>North</v>
      </c>
      <c r="L98" s="3">
        <f>IFERROR(HLOOKUP(F98,Fee_Lookup!$B$1:$E$2,2,FALSE),"Method not found")</f>
        <v>5.0000000000000001E-3</v>
      </c>
      <c r="M98" s="6">
        <f t="shared" si="2"/>
        <v>1.4950000000000001</v>
      </c>
      <c r="N98" s="8">
        <f t="shared" si="3"/>
        <v>46037</v>
      </c>
    </row>
    <row r="99" spans="1:14" x14ac:dyDescent="0.4">
      <c r="A99" t="s">
        <v>166</v>
      </c>
      <c r="B99">
        <v>145</v>
      </c>
      <c r="C99">
        <v>30</v>
      </c>
      <c r="D99" s="2">
        <v>46030.40625</v>
      </c>
      <c r="E99">
        <v>799</v>
      </c>
      <c r="F99" t="s">
        <v>66</v>
      </c>
      <c r="G99" t="s">
        <v>64</v>
      </c>
      <c r="H99">
        <v>9</v>
      </c>
      <c r="I99" t="str">
        <f>IFERROR(VLOOKUP($C99,Merchants!$A$2:$D$41,2,FALSE),"Merchant not found")</f>
        <v>Merchant_030</v>
      </c>
      <c r="J99" t="str">
        <f>IFERROR(VLOOKUP($C99,Merchants!$A$2:$D$41,3,FALSE),"Merchant not found")</f>
        <v>travel</v>
      </c>
      <c r="K99" t="str">
        <f>IFERROR(VLOOKUP($C99,Merchants!$A$2:$D$41,4,FALSE),"Merchant not found")</f>
        <v>West</v>
      </c>
      <c r="L99" s="3">
        <f>IFERROR(HLOOKUP(F99,Fee_Lookup!$B$1:$E$2,2,FALSE),"Method not found")</f>
        <v>5.0000000000000001E-3</v>
      </c>
      <c r="M99" s="6">
        <f t="shared" si="2"/>
        <v>3.9950000000000001</v>
      </c>
      <c r="N99" s="8">
        <f t="shared" si="3"/>
        <v>46030</v>
      </c>
    </row>
    <row r="100" spans="1:14" x14ac:dyDescent="0.4">
      <c r="A100" t="s">
        <v>167</v>
      </c>
      <c r="B100">
        <v>136</v>
      </c>
      <c r="C100">
        <v>38</v>
      </c>
      <c r="D100" s="2">
        <v>46044.332638888889</v>
      </c>
      <c r="E100">
        <v>299</v>
      </c>
      <c r="F100" t="s">
        <v>78</v>
      </c>
      <c r="G100" t="s">
        <v>64</v>
      </c>
      <c r="H100">
        <v>84</v>
      </c>
      <c r="I100" t="str">
        <f>IFERROR(VLOOKUP($C100,Merchants!$A$2:$D$41,2,FALSE),"Merchant not found")</f>
        <v>Merchant_038</v>
      </c>
      <c r="J100" t="str">
        <f>IFERROR(VLOOKUP($C100,Merchants!$A$2:$D$41,3,FALSE),"Merchant not found")</f>
        <v>grocery</v>
      </c>
      <c r="K100" t="str">
        <f>IFERROR(VLOOKUP($C100,Merchants!$A$2:$D$41,4,FALSE),"Merchant not found")</f>
        <v>East</v>
      </c>
      <c r="L100" s="3">
        <f>IFERROR(HLOOKUP(F100,Fee_Lookup!$B$1:$E$2,2,FALSE),"Method not found")</f>
        <v>1.2E-2</v>
      </c>
      <c r="M100" s="6">
        <f t="shared" si="2"/>
        <v>3.5880000000000001</v>
      </c>
      <c r="N100" s="8">
        <f t="shared" si="3"/>
        <v>46044</v>
      </c>
    </row>
    <row r="101" spans="1:14" x14ac:dyDescent="0.4">
      <c r="A101" t="s">
        <v>168</v>
      </c>
      <c r="B101">
        <v>59</v>
      </c>
      <c r="C101">
        <v>35</v>
      </c>
      <c r="D101" s="2">
        <v>46048.268750000003</v>
      </c>
      <c r="E101">
        <v>499</v>
      </c>
      <c r="F101" t="s">
        <v>66</v>
      </c>
      <c r="G101" t="s">
        <v>64</v>
      </c>
      <c r="H101">
        <v>28</v>
      </c>
      <c r="I101" t="str">
        <f>IFERROR(VLOOKUP($C101,Merchants!$A$2:$D$41,2,FALSE),"Merchant not found")</f>
        <v>Merchant_035</v>
      </c>
      <c r="J101" t="str">
        <f>IFERROR(VLOOKUP($C101,Merchants!$A$2:$D$41,3,FALSE),"Merchant not found")</f>
        <v>recharge</v>
      </c>
      <c r="K101" t="str">
        <f>IFERROR(VLOOKUP($C101,Merchants!$A$2:$D$41,4,FALSE),"Merchant not found")</f>
        <v>East</v>
      </c>
      <c r="L101" s="3">
        <f>IFERROR(HLOOKUP(F101,Fee_Lookup!$B$1:$E$2,2,FALSE),"Method not found")</f>
        <v>5.0000000000000001E-3</v>
      </c>
      <c r="M101" s="6">
        <f t="shared" si="2"/>
        <v>2.4950000000000001</v>
      </c>
      <c r="N101" s="8">
        <f t="shared" si="3"/>
        <v>46048</v>
      </c>
    </row>
    <row r="102" spans="1:14" x14ac:dyDescent="0.4">
      <c r="A102" t="s">
        <v>169</v>
      </c>
      <c r="B102">
        <v>137</v>
      </c>
      <c r="C102">
        <v>10</v>
      </c>
      <c r="D102" s="2">
        <v>46043.206944444442</v>
      </c>
      <c r="E102">
        <v>299</v>
      </c>
      <c r="F102" t="s">
        <v>66</v>
      </c>
      <c r="G102" t="s">
        <v>64</v>
      </c>
      <c r="H102">
        <v>9</v>
      </c>
      <c r="I102" t="str">
        <f>IFERROR(VLOOKUP($C102,Merchants!$A$2:$D$41,2,FALSE),"Merchant not found")</f>
        <v>Merchant_010</v>
      </c>
      <c r="J102" t="str">
        <f>IFERROR(VLOOKUP($C102,Merchants!$A$2:$D$41,3,FALSE),"Merchant not found")</f>
        <v>grocery</v>
      </c>
      <c r="K102" t="str">
        <f>IFERROR(VLOOKUP($C102,Merchants!$A$2:$D$41,4,FALSE),"Merchant not found")</f>
        <v>West</v>
      </c>
      <c r="L102" s="3">
        <f>IFERROR(HLOOKUP(F102,Fee_Lookup!$B$1:$E$2,2,FALSE),"Method not found")</f>
        <v>5.0000000000000001E-3</v>
      </c>
      <c r="M102" s="6">
        <f t="shared" si="2"/>
        <v>1.4950000000000001</v>
      </c>
      <c r="N102" s="8">
        <f t="shared" si="3"/>
        <v>46043</v>
      </c>
    </row>
    <row r="103" spans="1:14" x14ac:dyDescent="0.4">
      <c r="A103" t="s">
        <v>170</v>
      </c>
      <c r="B103">
        <v>158</v>
      </c>
      <c r="C103">
        <v>39</v>
      </c>
      <c r="D103" s="2">
        <v>46024.243055555555</v>
      </c>
      <c r="E103">
        <v>499</v>
      </c>
      <c r="F103" t="s">
        <v>69</v>
      </c>
      <c r="G103" t="s">
        <v>64</v>
      </c>
      <c r="H103">
        <v>95</v>
      </c>
      <c r="I103" t="str">
        <f>IFERROR(VLOOKUP($C103,Merchants!$A$2:$D$41,2,FALSE),"Merchant not found")</f>
        <v>Merchant_039</v>
      </c>
      <c r="J103" t="str">
        <f>IFERROR(VLOOKUP($C103,Merchants!$A$2:$D$41,3,FALSE),"Merchant not found")</f>
        <v>entertainment</v>
      </c>
      <c r="K103" t="str">
        <f>IFERROR(VLOOKUP($C103,Merchants!$A$2:$D$41,4,FALSE),"Merchant not found")</f>
        <v>North</v>
      </c>
      <c r="L103" s="3">
        <f>IFERROR(HLOOKUP(F103,Fee_Lookup!$B$1:$E$2,2,FALSE),"Method not found")</f>
        <v>0.01</v>
      </c>
      <c r="M103" s="6">
        <f t="shared" si="2"/>
        <v>4.99</v>
      </c>
      <c r="N103" s="8">
        <f t="shared" si="3"/>
        <v>46024</v>
      </c>
    </row>
    <row r="104" spans="1:14" x14ac:dyDescent="0.4">
      <c r="A104" t="s">
        <v>171</v>
      </c>
      <c r="B104">
        <v>148</v>
      </c>
      <c r="C104">
        <v>29</v>
      </c>
      <c r="D104" s="2">
        <v>46049.790277777778</v>
      </c>
      <c r="E104">
        <v>99</v>
      </c>
      <c r="F104" t="s">
        <v>78</v>
      </c>
      <c r="G104" t="s">
        <v>64</v>
      </c>
      <c r="H104">
        <v>15</v>
      </c>
      <c r="I104" t="str">
        <f>IFERROR(VLOOKUP($C104,Merchants!$A$2:$D$41,2,FALSE),"Merchant not found")</f>
        <v>Merchant_029</v>
      </c>
      <c r="J104" t="str">
        <f>IFERROR(VLOOKUP($C104,Merchants!$A$2:$D$41,3,FALSE),"Merchant not found")</f>
        <v>ecommerce</v>
      </c>
      <c r="K104" t="str">
        <f>IFERROR(VLOOKUP($C104,Merchants!$A$2:$D$41,4,FALSE),"Merchant not found")</f>
        <v>North</v>
      </c>
      <c r="L104" s="3">
        <f>IFERROR(HLOOKUP(F104,Fee_Lookup!$B$1:$E$2,2,FALSE),"Method not found")</f>
        <v>1.2E-2</v>
      </c>
      <c r="M104" s="6">
        <f t="shared" si="2"/>
        <v>1.1879999999999999</v>
      </c>
      <c r="N104" s="8">
        <f t="shared" si="3"/>
        <v>46049</v>
      </c>
    </row>
    <row r="105" spans="1:14" x14ac:dyDescent="0.4">
      <c r="A105" t="s">
        <v>172</v>
      </c>
      <c r="B105">
        <v>207</v>
      </c>
      <c r="C105">
        <v>18</v>
      </c>
      <c r="D105" s="2">
        <v>46037.929861111108</v>
      </c>
      <c r="E105">
        <v>149</v>
      </c>
      <c r="F105" t="s">
        <v>66</v>
      </c>
      <c r="G105" t="s">
        <v>64</v>
      </c>
      <c r="H105">
        <v>64</v>
      </c>
      <c r="I105" t="str">
        <f>IFERROR(VLOOKUP($C105,Merchants!$A$2:$D$41,2,FALSE),"Merchant not found")</f>
        <v>Merchant_018</v>
      </c>
      <c r="J105" t="str">
        <f>IFERROR(VLOOKUP($C105,Merchants!$A$2:$D$41,3,FALSE),"Merchant not found")</f>
        <v>grocery</v>
      </c>
      <c r="K105" t="str">
        <f>IFERROR(VLOOKUP($C105,Merchants!$A$2:$D$41,4,FALSE),"Merchant not found")</f>
        <v>West</v>
      </c>
      <c r="L105" s="3">
        <f>IFERROR(HLOOKUP(F105,Fee_Lookup!$B$1:$E$2,2,FALSE),"Method not found")</f>
        <v>5.0000000000000001E-3</v>
      </c>
      <c r="M105" s="6">
        <f t="shared" si="2"/>
        <v>0.745</v>
      </c>
      <c r="N105" s="8">
        <f t="shared" si="3"/>
        <v>46037</v>
      </c>
    </row>
    <row r="106" spans="1:14" x14ac:dyDescent="0.4">
      <c r="A106" t="s">
        <v>173</v>
      </c>
      <c r="B106">
        <v>42</v>
      </c>
      <c r="C106">
        <v>39</v>
      </c>
      <c r="D106" s="2">
        <v>46040.644444444442</v>
      </c>
      <c r="E106">
        <v>2999</v>
      </c>
      <c r="F106" t="s">
        <v>78</v>
      </c>
      <c r="G106" t="s">
        <v>64</v>
      </c>
      <c r="H106">
        <v>5</v>
      </c>
      <c r="I106" t="str">
        <f>IFERROR(VLOOKUP($C106,Merchants!$A$2:$D$41,2,FALSE),"Merchant not found")</f>
        <v>Merchant_039</v>
      </c>
      <c r="J106" t="str">
        <f>IFERROR(VLOOKUP($C106,Merchants!$A$2:$D$41,3,FALSE),"Merchant not found")</f>
        <v>entertainment</v>
      </c>
      <c r="K106" t="str">
        <f>IFERROR(VLOOKUP($C106,Merchants!$A$2:$D$41,4,FALSE),"Merchant not found")</f>
        <v>North</v>
      </c>
      <c r="L106" s="3">
        <f>IFERROR(HLOOKUP(F106,Fee_Lookup!$B$1:$E$2,2,FALSE),"Method not found")</f>
        <v>1.2E-2</v>
      </c>
      <c r="M106" s="6">
        <f t="shared" si="2"/>
        <v>35.988</v>
      </c>
      <c r="N106" s="8">
        <f t="shared" si="3"/>
        <v>46040</v>
      </c>
    </row>
    <row r="107" spans="1:14" x14ac:dyDescent="0.4">
      <c r="A107" t="s">
        <v>174</v>
      </c>
      <c r="B107">
        <v>166</v>
      </c>
      <c r="C107">
        <v>39</v>
      </c>
      <c r="D107" s="2">
        <v>46051.574305555558</v>
      </c>
      <c r="E107">
        <v>149</v>
      </c>
      <c r="F107" t="s">
        <v>66</v>
      </c>
      <c r="G107" t="s">
        <v>64</v>
      </c>
      <c r="H107">
        <v>32</v>
      </c>
      <c r="I107" t="str">
        <f>IFERROR(VLOOKUP($C107,Merchants!$A$2:$D$41,2,FALSE),"Merchant not found")</f>
        <v>Merchant_039</v>
      </c>
      <c r="J107" t="str">
        <f>IFERROR(VLOOKUP($C107,Merchants!$A$2:$D$41,3,FALSE),"Merchant not found")</f>
        <v>entertainment</v>
      </c>
      <c r="K107" t="str">
        <f>IFERROR(VLOOKUP($C107,Merchants!$A$2:$D$41,4,FALSE),"Merchant not found")</f>
        <v>North</v>
      </c>
      <c r="L107" s="3">
        <f>IFERROR(HLOOKUP(F107,Fee_Lookup!$B$1:$E$2,2,FALSE),"Method not found")</f>
        <v>5.0000000000000001E-3</v>
      </c>
      <c r="M107" s="6">
        <f t="shared" si="2"/>
        <v>0.745</v>
      </c>
      <c r="N107" s="8">
        <f t="shared" si="3"/>
        <v>46051</v>
      </c>
    </row>
    <row r="108" spans="1:14" x14ac:dyDescent="0.4">
      <c r="A108" t="s">
        <v>175</v>
      </c>
      <c r="B108">
        <v>346</v>
      </c>
      <c r="C108">
        <v>37</v>
      </c>
      <c r="D108" s="2">
        <v>46023.093055555553</v>
      </c>
      <c r="E108">
        <v>99</v>
      </c>
      <c r="F108" t="s">
        <v>66</v>
      </c>
      <c r="G108" t="s">
        <v>64</v>
      </c>
      <c r="H108">
        <v>75</v>
      </c>
      <c r="I108" t="str">
        <f>IFERROR(VLOOKUP($C108,Merchants!$A$2:$D$41,2,FALSE),"Merchant not found")</f>
        <v>Merchant_037</v>
      </c>
      <c r="J108" t="str">
        <f>IFERROR(VLOOKUP($C108,Merchants!$A$2:$D$41,3,FALSE),"Merchant not found")</f>
        <v>entertainment</v>
      </c>
      <c r="K108" t="str">
        <f>IFERROR(VLOOKUP($C108,Merchants!$A$2:$D$41,4,FALSE),"Merchant not found")</f>
        <v>South</v>
      </c>
      <c r="L108" s="3">
        <f>IFERROR(HLOOKUP(F108,Fee_Lookup!$B$1:$E$2,2,FALSE),"Method not found")</f>
        <v>5.0000000000000001E-3</v>
      </c>
      <c r="M108" s="6">
        <f t="shared" si="2"/>
        <v>0.495</v>
      </c>
      <c r="N108" s="8">
        <f t="shared" si="3"/>
        <v>46023</v>
      </c>
    </row>
    <row r="109" spans="1:14" x14ac:dyDescent="0.4">
      <c r="A109" t="s">
        <v>176</v>
      </c>
      <c r="B109">
        <v>138</v>
      </c>
      <c r="C109">
        <v>37</v>
      </c>
      <c r="D109" s="2">
        <v>46023.911111111112</v>
      </c>
      <c r="E109">
        <v>499</v>
      </c>
      <c r="F109" t="s">
        <v>66</v>
      </c>
      <c r="G109" t="s">
        <v>64</v>
      </c>
      <c r="H109">
        <v>5</v>
      </c>
      <c r="I109" t="str">
        <f>IFERROR(VLOOKUP($C109,Merchants!$A$2:$D$41,2,FALSE),"Merchant not found")</f>
        <v>Merchant_037</v>
      </c>
      <c r="J109" t="str">
        <f>IFERROR(VLOOKUP($C109,Merchants!$A$2:$D$41,3,FALSE),"Merchant not found")</f>
        <v>entertainment</v>
      </c>
      <c r="K109" t="str">
        <f>IFERROR(VLOOKUP($C109,Merchants!$A$2:$D$41,4,FALSE),"Merchant not found")</f>
        <v>South</v>
      </c>
      <c r="L109" s="3">
        <f>IFERROR(HLOOKUP(F109,Fee_Lookup!$B$1:$E$2,2,FALSE),"Method not found")</f>
        <v>5.0000000000000001E-3</v>
      </c>
      <c r="M109" s="6">
        <f t="shared" si="2"/>
        <v>2.4950000000000001</v>
      </c>
      <c r="N109" s="8">
        <f t="shared" si="3"/>
        <v>46023</v>
      </c>
    </row>
    <row r="110" spans="1:14" x14ac:dyDescent="0.4">
      <c r="A110" t="s">
        <v>177</v>
      </c>
      <c r="B110">
        <v>266</v>
      </c>
      <c r="C110">
        <v>29</v>
      </c>
      <c r="D110" s="2">
        <v>46047.229166666664</v>
      </c>
      <c r="E110">
        <v>499</v>
      </c>
      <c r="F110" t="s">
        <v>63</v>
      </c>
      <c r="G110" t="s">
        <v>79</v>
      </c>
      <c r="H110">
        <v>35</v>
      </c>
      <c r="I110" t="str">
        <f>IFERROR(VLOOKUP($C110,Merchants!$A$2:$D$41,2,FALSE),"Merchant not found")</f>
        <v>Merchant_029</v>
      </c>
      <c r="J110" t="str">
        <f>IFERROR(VLOOKUP($C110,Merchants!$A$2:$D$41,3,FALSE),"Merchant not found")</f>
        <v>ecommerce</v>
      </c>
      <c r="K110" t="str">
        <f>IFERROR(VLOOKUP($C110,Merchants!$A$2:$D$41,4,FALSE),"Merchant not found")</f>
        <v>North</v>
      </c>
      <c r="L110" s="3">
        <f>IFERROR(HLOOKUP(F110,Fee_Lookup!$B$1:$E$2,2,FALSE),"Method not found")</f>
        <v>7.4999999999999997E-3</v>
      </c>
      <c r="M110" s="6">
        <f t="shared" si="2"/>
        <v>3.7424999999999997</v>
      </c>
      <c r="N110" s="8">
        <f t="shared" si="3"/>
        <v>46047</v>
      </c>
    </row>
    <row r="111" spans="1:14" x14ac:dyDescent="0.4">
      <c r="A111" t="s">
        <v>178</v>
      </c>
      <c r="B111">
        <v>326</v>
      </c>
      <c r="C111">
        <v>32</v>
      </c>
      <c r="D111" s="2">
        <v>46028.768750000003</v>
      </c>
      <c r="E111">
        <v>149</v>
      </c>
      <c r="F111" t="s">
        <v>66</v>
      </c>
      <c r="G111" t="s">
        <v>64</v>
      </c>
      <c r="H111">
        <v>11</v>
      </c>
      <c r="I111" t="str">
        <f>IFERROR(VLOOKUP($C111,Merchants!$A$2:$D$41,2,FALSE),"Merchant not found")</f>
        <v>Merchant_032</v>
      </c>
      <c r="J111" t="str">
        <f>IFERROR(VLOOKUP($C111,Merchants!$A$2:$D$41,3,FALSE),"Merchant not found")</f>
        <v>food_delivery</v>
      </c>
      <c r="K111" t="str">
        <f>IFERROR(VLOOKUP($C111,Merchants!$A$2:$D$41,4,FALSE),"Merchant not found")</f>
        <v>West</v>
      </c>
      <c r="L111" s="3">
        <f>IFERROR(HLOOKUP(F111,Fee_Lookup!$B$1:$E$2,2,FALSE),"Method not found")</f>
        <v>5.0000000000000001E-3</v>
      </c>
      <c r="M111" s="6">
        <f t="shared" si="2"/>
        <v>0.745</v>
      </c>
      <c r="N111" s="8">
        <f t="shared" si="3"/>
        <v>46028</v>
      </c>
    </row>
    <row r="112" spans="1:14" x14ac:dyDescent="0.4">
      <c r="A112" t="s">
        <v>179</v>
      </c>
      <c r="B112">
        <v>171</v>
      </c>
      <c r="C112">
        <v>21</v>
      </c>
      <c r="D112" s="2">
        <v>46038.476388888892</v>
      </c>
      <c r="E112">
        <v>799</v>
      </c>
      <c r="F112" t="s">
        <v>66</v>
      </c>
      <c r="G112" t="s">
        <v>64</v>
      </c>
      <c r="H112">
        <v>85</v>
      </c>
      <c r="I112" t="str">
        <f>IFERROR(VLOOKUP($C112,Merchants!$A$2:$D$41,2,FALSE),"Merchant not found")</f>
        <v>Merchant_021</v>
      </c>
      <c r="J112" t="str">
        <f>IFERROR(VLOOKUP($C112,Merchants!$A$2:$D$41,3,FALSE),"Merchant not found")</f>
        <v>food_delivery</v>
      </c>
      <c r="K112" t="str">
        <f>IFERROR(VLOOKUP($C112,Merchants!$A$2:$D$41,4,FALSE),"Merchant not found")</f>
        <v>East</v>
      </c>
      <c r="L112" s="3">
        <f>IFERROR(HLOOKUP(F112,Fee_Lookup!$B$1:$E$2,2,FALSE),"Method not found")</f>
        <v>5.0000000000000001E-3</v>
      </c>
      <c r="M112" s="6">
        <f t="shared" si="2"/>
        <v>3.9950000000000001</v>
      </c>
      <c r="N112" s="8">
        <f t="shared" si="3"/>
        <v>46038</v>
      </c>
    </row>
    <row r="113" spans="1:14" x14ac:dyDescent="0.4">
      <c r="A113" t="s">
        <v>180</v>
      </c>
      <c r="B113">
        <v>211</v>
      </c>
      <c r="C113">
        <v>32</v>
      </c>
      <c r="D113" s="2">
        <v>46026.222916666666</v>
      </c>
      <c r="E113">
        <v>49</v>
      </c>
      <c r="F113" t="s">
        <v>66</v>
      </c>
      <c r="G113" t="s">
        <v>64</v>
      </c>
      <c r="H113">
        <v>36</v>
      </c>
      <c r="I113" t="str">
        <f>IFERROR(VLOOKUP($C113,Merchants!$A$2:$D$41,2,FALSE),"Merchant not found")</f>
        <v>Merchant_032</v>
      </c>
      <c r="J113" t="str">
        <f>IFERROR(VLOOKUP($C113,Merchants!$A$2:$D$41,3,FALSE),"Merchant not found")</f>
        <v>food_delivery</v>
      </c>
      <c r="K113" t="str">
        <f>IFERROR(VLOOKUP($C113,Merchants!$A$2:$D$41,4,FALSE),"Merchant not found")</f>
        <v>West</v>
      </c>
      <c r="L113" s="3">
        <f>IFERROR(HLOOKUP(F113,Fee_Lookup!$B$1:$E$2,2,FALSE),"Method not found")</f>
        <v>5.0000000000000001E-3</v>
      </c>
      <c r="M113" s="6">
        <f t="shared" si="2"/>
        <v>0.245</v>
      </c>
      <c r="N113" s="8">
        <f t="shared" si="3"/>
        <v>46026</v>
      </c>
    </row>
    <row r="114" spans="1:14" x14ac:dyDescent="0.4">
      <c r="A114" t="s">
        <v>181</v>
      </c>
      <c r="B114">
        <v>282</v>
      </c>
      <c r="C114">
        <v>3</v>
      </c>
      <c r="D114" s="2">
        <v>46044.536111111112</v>
      </c>
      <c r="E114">
        <v>499</v>
      </c>
      <c r="F114" t="s">
        <v>66</v>
      </c>
      <c r="G114" t="s">
        <v>64</v>
      </c>
      <c r="H114">
        <v>58</v>
      </c>
      <c r="I114" t="str">
        <f>IFERROR(VLOOKUP($C114,Merchants!$A$2:$D$41,2,FALSE),"Merchant not found")</f>
        <v>Merchant_003</v>
      </c>
      <c r="J114" t="str">
        <f>IFERROR(VLOOKUP($C114,Merchants!$A$2:$D$41,3,FALSE),"Merchant not found")</f>
        <v>grocery</v>
      </c>
      <c r="K114" t="str">
        <f>IFERROR(VLOOKUP($C114,Merchants!$A$2:$D$41,4,FALSE),"Merchant not found")</f>
        <v>East</v>
      </c>
      <c r="L114" s="3">
        <f>IFERROR(HLOOKUP(F114,Fee_Lookup!$B$1:$E$2,2,FALSE),"Method not found")</f>
        <v>5.0000000000000001E-3</v>
      </c>
      <c r="M114" s="6">
        <f t="shared" si="2"/>
        <v>2.4950000000000001</v>
      </c>
      <c r="N114" s="8">
        <f t="shared" si="3"/>
        <v>46044</v>
      </c>
    </row>
    <row r="115" spans="1:14" x14ac:dyDescent="0.4">
      <c r="A115" t="s">
        <v>182</v>
      </c>
      <c r="B115">
        <v>166</v>
      </c>
      <c r="C115">
        <v>8</v>
      </c>
      <c r="D115" s="2">
        <v>46025.427777777775</v>
      </c>
      <c r="E115">
        <v>299</v>
      </c>
      <c r="F115" t="s">
        <v>66</v>
      </c>
      <c r="G115" t="s">
        <v>64</v>
      </c>
      <c r="H115">
        <v>98</v>
      </c>
      <c r="I115" t="str">
        <f>IFERROR(VLOOKUP($C115,Merchants!$A$2:$D$41,2,FALSE),"Merchant not found")</f>
        <v>Merchant_008</v>
      </c>
      <c r="J115" t="str">
        <f>IFERROR(VLOOKUP($C115,Merchants!$A$2:$D$41,3,FALSE),"Merchant not found")</f>
        <v>food_delivery</v>
      </c>
      <c r="K115" t="str">
        <f>IFERROR(VLOOKUP($C115,Merchants!$A$2:$D$41,4,FALSE),"Merchant not found")</f>
        <v>North</v>
      </c>
      <c r="L115" s="3">
        <f>IFERROR(HLOOKUP(F115,Fee_Lookup!$B$1:$E$2,2,FALSE),"Method not found")</f>
        <v>5.0000000000000001E-3</v>
      </c>
      <c r="M115" s="6">
        <f t="shared" si="2"/>
        <v>1.4950000000000001</v>
      </c>
      <c r="N115" s="8">
        <f t="shared" si="3"/>
        <v>46025</v>
      </c>
    </row>
    <row r="116" spans="1:14" x14ac:dyDescent="0.4">
      <c r="A116" t="s">
        <v>183</v>
      </c>
      <c r="B116">
        <v>1</v>
      </c>
      <c r="C116">
        <v>35</v>
      </c>
      <c r="D116" s="2">
        <v>46035.702777777777</v>
      </c>
      <c r="E116">
        <v>149</v>
      </c>
      <c r="F116" t="s">
        <v>66</v>
      </c>
      <c r="G116" t="s">
        <v>64</v>
      </c>
      <c r="H116">
        <v>59</v>
      </c>
      <c r="I116" t="str">
        <f>IFERROR(VLOOKUP($C116,Merchants!$A$2:$D$41,2,FALSE),"Merchant not found")</f>
        <v>Merchant_035</v>
      </c>
      <c r="J116" t="str">
        <f>IFERROR(VLOOKUP($C116,Merchants!$A$2:$D$41,3,FALSE),"Merchant not found")</f>
        <v>recharge</v>
      </c>
      <c r="K116" t="str">
        <f>IFERROR(VLOOKUP($C116,Merchants!$A$2:$D$41,4,FALSE),"Merchant not found")</f>
        <v>East</v>
      </c>
      <c r="L116" s="3">
        <f>IFERROR(HLOOKUP(F116,Fee_Lookup!$B$1:$E$2,2,FALSE),"Method not found")</f>
        <v>5.0000000000000001E-3</v>
      </c>
      <c r="M116" s="6">
        <f t="shared" si="2"/>
        <v>0.745</v>
      </c>
      <c r="N116" s="8">
        <f t="shared" si="3"/>
        <v>46035</v>
      </c>
    </row>
    <row r="117" spans="1:14" x14ac:dyDescent="0.4">
      <c r="A117" t="s">
        <v>184</v>
      </c>
      <c r="B117">
        <v>266</v>
      </c>
      <c r="C117">
        <v>24</v>
      </c>
      <c r="D117" s="2">
        <v>46036.05</v>
      </c>
      <c r="E117">
        <v>499</v>
      </c>
      <c r="F117" t="s">
        <v>66</v>
      </c>
      <c r="G117" t="s">
        <v>64</v>
      </c>
      <c r="H117">
        <v>79</v>
      </c>
      <c r="I117" t="str">
        <f>IFERROR(VLOOKUP($C117,Merchants!$A$2:$D$41,2,FALSE),"Merchant not found")</f>
        <v>Merchant_024</v>
      </c>
      <c r="J117" t="str">
        <f>IFERROR(VLOOKUP($C117,Merchants!$A$2:$D$41,3,FALSE),"Merchant not found")</f>
        <v>grocery</v>
      </c>
      <c r="K117" t="str">
        <f>IFERROR(VLOOKUP($C117,Merchants!$A$2:$D$41,4,FALSE),"Merchant not found")</f>
        <v>North</v>
      </c>
      <c r="L117" s="3">
        <f>IFERROR(HLOOKUP(F117,Fee_Lookup!$B$1:$E$2,2,FALSE),"Method not found")</f>
        <v>5.0000000000000001E-3</v>
      </c>
      <c r="M117" s="6">
        <f t="shared" si="2"/>
        <v>2.4950000000000001</v>
      </c>
      <c r="N117" s="8">
        <f t="shared" si="3"/>
        <v>46036</v>
      </c>
    </row>
    <row r="118" spans="1:14" x14ac:dyDescent="0.4">
      <c r="A118" t="s">
        <v>185</v>
      </c>
      <c r="B118">
        <v>227</v>
      </c>
      <c r="C118">
        <v>4</v>
      </c>
      <c r="D118" s="2">
        <v>46047.652777777781</v>
      </c>
      <c r="E118">
        <v>499</v>
      </c>
      <c r="F118" t="s">
        <v>66</v>
      </c>
      <c r="G118" t="s">
        <v>64</v>
      </c>
      <c r="H118">
        <v>26</v>
      </c>
      <c r="I118" t="str">
        <f>IFERROR(VLOOKUP($C118,Merchants!$A$2:$D$41,2,FALSE),"Merchant not found")</f>
        <v>Merchant_004</v>
      </c>
      <c r="J118" t="str">
        <f>IFERROR(VLOOKUP($C118,Merchants!$A$2:$D$41,3,FALSE),"Merchant not found")</f>
        <v>ecommerce</v>
      </c>
      <c r="K118" t="str">
        <f>IFERROR(VLOOKUP($C118,Merchants!$A$2:$D$41,4,FALSE),"Merchant not found")</f>
        <v>East</v>
      </c>
      <c r="L118" s="3">
        <f>IFERROR(HLOOKUP(F118,Fee_Lookup!$B$1:$E$2,2,FALSE),"Method not found")</f>
        <v>5.0000000000000001E-3</v>
      </c>
      <c r="M118" s="6">
        <f t="shared" si="2"/>
        <v>2.4950000000000001</v>
      </c>
      <c r="N118" s="8">
        <f t="shared" si="3"/>
        <v>46047</v>
      </c>
    </row>
    <row r="119" spans="1:14" x14ac:dyDescent="0.4">
      <c r="A119" t="s">
        <v>186</v>
      </c>
      <c r="B119">
        <v>148</v>
      </c>
      <c r="C119">
        <v>29</v>
      </c>
      <c r="D119" s="2">
        <v>46031.713888888888</v>
      </c>
      <c r="E119">
        <v>499</v>
      </c>
      <c r="F119" t="s">
        <v>66</v>
      </c>
      <c r="G119" t="s">
        <v>64</v>
      </c>
      <c r="H119">
        <v>89</v>
      </c>
      <c r="I119" t="str">
        <f>IFERROR(VLOOKUP($C119,Merchants!$A$2:$D$41,2,FALSE),"Merchant not found")</f>
        <v>Merchant_029</v>
      </c>
      <c r="J119" t="str">
        <f>IFERROR(VLOOKUP($C119,Merchants!$A$2:$D$41,3,FALSE),"Merchant not found")</f>
        <v>ecommerce</v>
      </c>
      <c r="K119" t="str">
        <f>IFERROR(VLOOKUP($C119,Merchants!$A$2:$D$41,4,FALSE),"Merchant not found")</f>
        <v>North</v>
      </c>
      <c r="L119" s="3">
        <f>IFERROR(HLOOKUP(F119,Fee_Lookup!$B$1:$E$2,2,FALSE),"Method not found")</f>
        <v>5.0000000000000001E-3</v>
      </c>
      <c r="M119" s="6">
        <f t="shared" si="2"/>
        <v>2.4950000000000001</v>
      </c>
      <c r="N119" s="8">
        <f t="shared" si="3"/>
        <v>46031</v>
      </c>
    </row>
    <row r="120" spans="1:14" x14ac:dyDescent="0.4">
      <c r="A120" t="s">
        <v>187</v>
      </c>
      <c r="B120">
        <v>323</v>
      </c>
      <c r="C120">
        <v>39</v>
      </c>
      <c r="D120" s="2">
        <v>46038.125694444447</v>
      </c>
      <c r="E120">
        <v>499</v>
      </c>
      <c r="F120" t="s">
        <v>66</v>
      </c>
      <c r="G120" t="s">
        <v>64</v>
      </c>
      <c r="H120">
        <v>30</v>
      </c>
      <c r="I120" t="str">
        <f>IFERROR(VLOOKUP($C120,Merchants!$A$2:$D$41,2,FALSE),"Merchant not found")</f>
        <v>Merchant_039</v>
      </c>
      <c r="J120" t="str">
        <f>IFERROR(VLOOKUP($C120,Merchants!$A$2:$D$41,3,FALSE),"Merchant not found")</f>
        <v>entertainment</v>
      </c>
      <c r="K120" t="str">
        <f>IFERROR(VLOOKUP($C120,Merchants!$A$2:$D$41,4,FALSE),"Merchant not found")</f>
        <v>North</v>
      </c>
      <c r="L120" s="3">
        <f>IFERROR(HLOOKUP(F120,Fee_Lookup!$B$1:$E$2,2,FALSE),"Method not found")</f>
        <v>5.0000000000000001E-3</v>
      </c>
      <c r="M120" s="6">
        <f t="shared" si="2"/>
        <v>2.4950000000000001</v>
      </c>
      <c r="N120" s="8">
        <f t="shared" si="3"/>
        <v>46038</v>
      </c>
    </row>
    <row r="121" spans="1:14" x14ac:dyDescent="0.4">
      <c r="A121" t="s">
        <v>188</v>
      </c>
      <c r="B121">
        <v>283</v>
      </c>
      <c r="C121">
        <v>1</v>
      </c>
      <c r="D121" s="2">
        <v>46045.22152777778</v>
      </c>
      <c r="E121">
        <v>2999</v>
      </c>
      <c r="F121" t="s">
        <v>63</v>
      </c>
      <c r="G121" t="s">
        <v>64</v>
      </c>
      <c r="H121">
        <v>70</v>
      </c>
      <c r="I121" t="str">
        <f>IFERROR(VLOOKUP($C121,Merchants!$A$2:$D$41,2,FALSE),"Merchant not found")</f>
        <v>Merchant_001</v>
      </c>
      <c r="J121" t="str">
        <f>IFERROR(VLOOKUP($C121,Merchants!$A$2:$D$41,3,FALSE),"Merchant not found")</f>
        <v>ecommerce</v>
      </c>
      <c r="K121" t="str">
        <f>IFERROR(VLOOKUP($C121,Merchants!$A$2:$D$41,4,FALSE),"Merchant not found")</f>
        <v>South</v>
      </c>
      <c r="L121" s="3">
        <f>IFERROR(HLOOKUP(F121,Fee_Lookup!$B$1:$E$2,2,FALSE),"Method not found")</f>
        <v>7.4999999999999997E-3</v>
      </c>
      <c r="M121" s="6">
        <f t="shared" si="2"/>
        <v>22.4925</v>
      </c>
      <c r="N121" s="8">
        <f t="shared" si="3"/>
        <v>46045</v>
      </c>
    </row>
    <row r="122" spans="1:14" x14ac:dyDescent="0.4">
      <c r="A122" t="s">
        <v>189</v>
      </c>
      <c r="B122">
        <v>59</v>
      </c>
      <c r="C122">
        <v>30</v>
      </c>
      <c r="D122" s="2">
        <v>46036.093055555553</v>
      </c>
      <c r="E122">
        <v>499</v>
      </c>
      <c r="F122" t="s">
        <v>66</v>
      </c>
      <c r="G122" t="s">
        <v>64</v>
      </c>
      <c r="H122">
        <v>15</v>
      </c>
      <c r="I122" t="str">
        <f>IFERROR(VLOOKUP($C122,Merchants!$A$2:$D$41,2,FALSE),"Merchant not found")</f>
        <v>Merchant_030</v>
      </c>
      <c r="J122" t="str">
        <f>IFERROR(VLOOKUP($C122,Merchants!$A$2:$D$41,3,FALSE),"Merchant not found")</f>
        <v>travel</v>
      </c>
      <c r="K122" t="str">
        <f>IFERROR(VLOOKUP($C122,Merchants!$A$2:$D$41,4,FALSE),"Merchant not found")</f>
        <v>West</v>
      </c>
      <c r="L122" s="3">
        <f>IFERROR(HLOOKUP(F122,Fee_Lookup!$B$1:$E$2,2,FALSE),"Method not found")</f>
        <v>5.0000000000000001E-3</v>
      </c>
      <c r="M122" s="6">
        <f t="shared" si="2"/>
        <v>2.4950000000000001</v>
      </c>
      <c r="N122" s="8">
        <f t="shared" si="3"/>
        <v>46036</v>
      </c>
    </row>
    <row r="123" spans="1:14" x14ac:dyDescent="0.4">
      <c r="A123" t="s">
        <v>190</v>
      </c>
      <c r="B123">
        <v>150</v>
      </c>
      <c r="C123">
        <v>33</v>
      </c>
      <c r="D123" s="2">
        <v>46043.188194444447</v>
      </c>
      <c r="E123">
        <v>2999</v>
      </c>
      <c r="F123" t="s">
        <v>66</v>
      </c>
      <c r="G123" t="s">
        <v>64</v>
      </c>
      <c r="H123">
        <v>90</v>
      </c>
      <c r="I123" t="str">
        <f>IFERROR(VLOOKUP($C123,Merchants!$A$2:$D$41,2,FALSE),"Merchant not found")</f>
        <v>Merchant_033</v>
      </c>
      <c r="J123" t="str">
        <f>IFERROR(VLOOKUP($C123,Merchants!$A$2:$D$41,3,FALSE),"Merchant not found")</f>
        <v>bill_payment</v>
      </c>
      <c r="K123" t="str">
        <f>IFERROR(VLOOKUP($C123,Merchants!$A$2:$D$41,4,FALSE),"Merchant not found")</f>
        <v>East</v>
      </c>
      <c r="L123" s="3">
        <f>IFERROR(HLOOKUP(F123,Fee_Lookup!$B$1:$E$2,2,FALSE),"Method not found")</f>
        <v>5.0000000000000001E-3</v>
      </c>
      <c r="M123" s="6">
        <f t="shared" si="2"/>
        <v>14.995000000000001</v>
      </c>
      <c r="N123" s="8">
        <f t="shared" si="3"/>
        <v>46043</v>
      </c>
    </row>
    <row r="124" spans="1:14" x14ac:dyDescent="0.4">
      <c r="A124" t="s">
        <v>191</v>
      </c>
      <c r="B124">
        <v>248</v>
      </c>
      <c r="C124">
        <v>31</v>
      </c>
      <c r="D124" s="2">
        <v>46031.578472222223</v>
      </c>
      <c r="E124">
        <v>1499</v>
      </c>
      <c r="F124" t="s">
        <v>66</v>
      </c>
      <c r="G124" t="s">
        <v>79</v>
      </c>
      <c r="H124">
        <v>31</v>
      </c>
      <c r="I124" t="str">
        <f>IFERROR(VLOOKUP($C124,Merchants!$A$2:$D$41,2,FALSE),"Merchant not found")</f>
        <v>Merchant_031</v>
      </c>
      <c r="J124" t="str">
        <f>IFERROR(VLOOKUP($C124,Merchants!$A$2:$D$41,3,FALSE),"Merchant not found")</f>
        <v>bill_payment</v>
      </c>
      <c r="K124" t="str">
        <f>IFERROR(VLOOKUP($C124,Merchants!$A$2:$D$41,4,FALSE),"Merchant not found")</f>
        <v>East</v>
      </c>
      <c r="L124" s="3">
        <f>IFERROR(HLOOKUP(F124,Fee_Lookup!$B$1:$E$2,2,FALSE),"Method not found")</f>
        <v>5.0000000000000001E-3</v>
      </c>
      <c r="M124" s="6">
        <f t="shared" si="2"/>
        <v>7.4950000000000001</v>
      </c>
      <c r="N124" s="8">
        <f t="shared" si="3"/>
        <v>46031</v>
      </c>
    </row>
    <row r="125" spans="1:14" x14ac:dyDescent="0.4">
      <c r="A125" t="s">
        <v>192</v>
      </c>
      <c r="B125">
        <v>197</v>
      </c>
      <c r="C125">
        <v>13</v>
      </c>
      <c r="D125" s="2">
        <v>46037.714583333334</v>
      </c>
      <c r="E125">
        <v>49</v>
      </c>
      <c r="F125" t="s">
        <v>66</v>
      </c>
      <c r="G125" t="s">
        <v>64</v>
      </c>
      <c r="H125">
        <v>76</v>
      </c>
      <c r="I125" t="str">
        <f>IFERROR(VLOOKUP($C125,Merchants!$A$2:$D$41,2,FALSE),"Merchant not found")</f>
        <v>Merchant_013</v>
      </c>
      <c r="J125" t="str">
        <f>IFERROR(VLOOKUP($C125,Merchants!$A$2:$D$41,3,FALSE),"Merchant not found")</f>
        <v>travel</v>
      </c>
      <c r="K125" t="str">
        <f>IFERROR(VLOOKUP($C125,Merchants!$A$2:$D$41,4,FALSE),"Merchant not found")</f>
        <v>East</v>
      </c>
      <c r="L125" s="3">
        <f>IFERROR(HLOOKUP(F125,Fee_Lookup!$B$1:$E$2,2,FALSE),"Method not found")</f>
        <v>5.0000000000000001E-3</v>
      </c>
      <c r="M125" s="6">
        <f t="shared" si="2"/>
        <v>0.245</v>
      </c>
      <c r="N125" s="8">
        <f t="shared" si="3"/>
        <v>46037</v>
      </c>
    </row>
    <row r="126" spans="1:14" x14ac:dyDescent="0.4">
      <c r="A126" t="s">
        <v>193</v>
      </c>
      <c r="B126">
        <v>70</v>
      </c>
      <c r="C126">
        <v>5</v>
      </c>
      <c r="D126" s="2">
        <v>46039.99722222222</v>
      </c>
      <c r="E126">
        <v>499</v>
      </c>
      <c r="F126" t="s">
        <v>66</v>
      </c>
      <c r="G126" t="s">
        <v>64</v>
      </c>
      <c r="H126">
        <v>35</v>
      </c>
      <c r="I126" t="str">
        <f>IFERROR(VLOOKUP($C126,Merchants!$A$2:$D$41,2,FALSE),"Merchant not found")</f>
        <v>Merchant_005</v>
      </c>
      <c r="J126" t="str">
        <f>IFERROR(VLOOKUP($C126,Merchants!$A$2:$D$41,3,FALSE),"Merchant not found")</f>
        <v>recharge</v>
      </c>
      <c r="K126" t="str">
        <f>IFERROR(VLOOKUP($C126,Merchants!$A$2:$D$41,4,FALSE),"Merchant not found")</f>
        <v>South</v>
      </c>
      <c r="L126" s="3">
        <f>IFERROR(HLOOKUP(F126,Fee_Lookup!$B$1:$E$2,2,FALSE),"Method not found")</f>
        <v>5.0000000000000001E-3</v>
      </c>
      <c r="M126" s="6">
        <f t="shared" si="2"/>
        <v>2.4950000000000001</v>
      </c>
      <c r="N126" s="8">
        <f t="shared" si="3"/>
        <v>46039</v>
      </c>
    </row>
    <row r="127" spans="1:14" x14ac:dyDescent="0.4">
      <c r="A127" t="s">
        <v>194</v>
      </c>
      <c r="B127">
        <v>260</v>
      </c>
      <c r="C127">
        <v>18</v>
      </c>
      <c r="D127" s="2">
        <v>46047.556250000001</v>
      </c>
      <c r="E127">
        <v>1499</v>
      </c>
      <c r="F127" t="s">
        <v>66</v>
      </c>
      <c r="G127" t="s">
        <v>64</v>
      </c>
      <c r="H127">
        <v>0</v>
      </c>
      <c r="I127" t="str">
        <f>IFERROR(VLOOKUP($C127,Merchants!$A$2:$D$41,2,FALSE),"Merchant not found")</f>
        <v>Merchant_018</v>
      </c>
      <c r="J127" t="str">
        <f>IFERROR(VLOOKUP($C127,Merchants!$A$2:$D$41,3,FALSE),"Merchant not found")</f>
        <v>grocery</v>
      </c>
      <c r="K127" t="str">
        <f>IFERROR(VLOOKUP($C127,Merchants!$A$2:$D$41,4,FALSE),"Merchant not found")</f>
        <v>West</v>
      </c>
      <c r="L127" s="3">
        <f>IFERROR(HLOOKUP(F127,Fee_Lookup!$B$1:$E$2,2,FALSE),"Method not found")</f>
        <v>5.0000000000000001E-3</v>
      </c>
      <c r="M127" s="6">
        <f t="shared" si="2"/>
        <v>7.4950000000000001</v>
      </c>
      <c r="N127" s="8">
        <f t="shared" si="3"/>
        <v>46047</v>
      </c>
    </row>
    <row r="128" spans="1:14" x14ac:dyDescent="0.4">
      <c r="A128" t="s">
        <v>195</v>
      </c>
      <c r="B128">
        <v>301</v>
      </c>
      <c r="C128">
        <v>38</v>
      </c>
      <c r="D128" s="2">
        <v>46032.97152777778</v>
      </c>
      <c r="E128">
        <v>99</v>
      </c>
      <c r="F128" t="s">
        <v>66</v>
      </c>
      <c r="G128" t="s">
        <v>64</v>
      </c>
      <c r="H128">
        <v>84</v>
      </c>
      <c r="I128" t="str">
        <f>IFERROR(VLOOKUP($C128,Merchants!$A$2:$D$41,2,FALSE),"Merchant not found")</f>
        <v>Merchant_038</v>
      </c>
      <c r="J128" t="str">
        <f>IFERROR(VLOOKUP($C128,Merchants!$A$2:$D$41,3,FALSE),"Merchant not found")</f>
        <v>grocery</v>
      </c>
      <c r="K128" t="str">
        <f>IFERROR(VLOOKUP($C128,Merchants!$A$2:$D$41,4,FALSE),"Merchant not found")</f>
        <v>East</v>
      </c>
      <c r="L128" s="3">
        <f>IFERROR(HLOOKUP(F128,Fee_Lookup!$B$1:$E$2,2,FALSE),"Method not found")</f>
        <v>5.0000000000000001E-3</v>
      </c>
      <c r="M128" s="6">
        <f t="shared" si="2"/>
        <v>0.495</v>
      </c>
      <c r="N128" s="8">
        <f t="shared" si="3"/>
        <v>46032</v>
      </c>
    </row>
    <row r="129" spans="1:14" x14ac:dyDescent="0.4">
      <c r="A129" t="s">
        <v>196</v>
      </c>
      <c r="B129">
        <v>276</v>
      </c>
      <c r="C129">
        <v>31</v>
      </c>
      <c r="D129" s="2">
        <v>46038.186111111114</v>
      </c>
      <c r="E129">
        <v>499</v>
      </c>
      <c r="F129" t="s">
        <v>78</v>
      </c>
      <c r="G129" t="s">
        <v>64</v>
      </c>
      <c r="H129">
        <v>44</v>
      </c>
      <c r="I129" t="str">
        <f>IFERROR(VLOOKUP($C129,Merchants!$A$2:$D$41,2,FALSE),"Merchant not found")</f>
        <v>Merchant_031</v>
      </c>
      <c r="J129" t="str">
        <f>IFERROR(VLOOKUP($C129,Merchants!$A$2:$D$41,3,FALSE),"Merchant not found")</f>
        <v>bill_payment</v>
      </c>
      <c r="K129" t="str">
        <f>IFERROR(VLOOKUP($C129,Merchants!$A$2:$D$41,4,FALSE),"Merchant not found")</f>
        <v>East</v>
      </c>
      <c r="L129" s="3">
        <f>IFERROR(HLOOKUP(F129,Fee_Lookup!$B$1:$E$2,2,FALSE),"Method not found")</f>
        <v>1.2E-2</v>
      </c>
      <c r="M129" s="6">
        <f t="shared" si="2"/>
        <v>5.9880000000000004</v>
      </c>
      <c r="N129" s="8">
        <f t="shared" si="3"/>
        <v>46038</v>
      </c>
    </row>
    <row r="130" spans="1:14" x14ac:dyDescent="0.4">
      <c r="A130" t="s">
        <v>197</v>
      </c>
      <c r="B130">
        <v>279</v>
      </c>
      <c r="C130">
        <v>25</v>
      </c>
      <c r="D130" s="2">
        <v>46033.741666666669</v>
      </c>
      <c r="E130">
        <v>799</v>
      </c>
      <c r="F130" t="s">
        <v>66</v>
      </c>
      <c r="G130" t="s">
        <v>64</v>
      </c>
      <c r="H130">
        <v>58</v>
      </c>
      <c r="I130" t="str">
        <f>IFERROR(VLOOKUP($C130,Merchants!$A$2:$D$41,2,FALSE),"Merchant not found")</f>
        <v>Merchant_025</v>
      </c>
      <c r="J130" t="str">
        <f>IFERROR(VLOOKUP($C130,Merchants!$A$2:$D$41,3,FALSE),"Merchant not found")</f>
        <v>travel</v>
      </c>
      <c r="K130" t="str">
        <f>IFERROR(VLOOKUP($C130,Merchants!$A$2:$D$41,4,FALSE),"Merchant not found")</f>
        <v>South</v>
      </c>
      <c r="L130" s="3">
        <f>IFERROR(HLOOKUP(F130,Fee_Lookup!$B$1:$E$2,2,FALSE),"Method not found")</f>
        <v>5.0000000000000001E-3</v>
      </c>
      <c r="M130" s="6">
        <f t="shared" si="2"/>
        <v>3.9950000000000001</v>
      </c>
      <c r="N130" s="8">
        <f t="shared" si="3"/>
        <v>46033</v>
      </c>
    </row>
    <row r="131" spans="1:14" x14ac:dyDescent="0.4">
      <c r="A131" t="s">
        <v>198</v>
      </c>
      <c r="B131">
        <v>97</v>
      </c>
      <c r="C131">
        <v>16</v>
      </c>
      <c r="D131" s="2">
        <v>46052.454861111109</v>
      </c>
      <c r="E131">
        <v>799</v>
      </c>
      <c r="F131" t="s">
        <v>78</v>
      </c>
      <c r="G131" t="s">
        <v>64</v>
      </c>
      <c r="H131">
        <v>73</v>
      </c>
      <c r="I131" t="str">
        <f>IFERROR(VLOOKUP($C131,Merchants!$A$2:$D$41,2,FALSE),"Merchant not found")</f>
        <v>Merchant_016</v>
      </c>
      <c r="J131" t="str">
        <f>IFERROR(VLOOKUP($C131,Merchants!$A$2:$D$41,3,FALSE),"Merchant not found")</f>
        <v>bill_payment</v>
      </c>
      <c r="K131" t="str">
        <f>IFERROR(VLOOKUP($C131,Merchants!$A$2:$D$41,4,FALSE),"Merchant not found")</f>
        <v>West</v>
      </c>
      <c r="L131" s="3">
        <f>IFERROR(HLOOKUP(F131,Fee_Lookup!$B$1:$E$2,2,FALSE),"Method not found")</f>
        <v>1.2E-2</v>
      </c>
      <c r="M131" s="6">
        <f t="shared" ref="M131:M194" si="4">E131*L131</f>
        <v>9.588000000000001</v>
      </c>
      <c r="N131" s="8">
        <f t="shared" ref="N131:N194" si="5">INT(D131)</f>
        <v>46052</v>
      </c>
    </row>
    <row r="132" spans="1:14" x14ac:dyDescent="0.4">
      <c r="A132" t="s">
        <v>199</v>
      </c>
      <c r="B132">
        <v>211</v>
      </c>
      <c r="C132">
        <v>3</v>
      </c>
      <c r="D132" s="2">
        <v>46035.32916666667</v>
      </c>
      <c r="E132">
        <v>149</v>
      </c>
      <c r="F132" t="s">
        <v>66</v>
      </c>
      <c r="G132" t="s">
        <v>92</v>
      </c>
      <c r="H132">
        <v>40</v>
      </c>
      <c r="I132" t="str">
        <f>IFERROR(VLOOKUP($C132,Merchants!$A$2:$D$41,2,FALSE),"Merchant not found")</f>
        <v>Merchant_003</v>
      </c>
      <c r="J132" t="str">
        <f>IFERROR(VLOOKUP($C132,Merchants!$A$2:$D$41,3,FALSE),"Merchant not found")</f>
        <v>grocery</v>
      </c>
      <c r="K132" t="str">
        <f>IFERROR(VLOOKUP($C132,Merchants!$A$2:$D$41,4,FALSE),"Merchant not found")</f>
        <v>East</v>
      </c>
      <c r="L132" s="3">
        <f>IFERROR(HLOOKUP(F132,Fee_Lookup!$B$1:$E$2,2,FALSE),"Method not found")</f>
        <v>5.0000000000000001E-3</v>
      </c>
      <c r="M132" s="6">
        <f t="shared" si="4"/>
        <v>0.745</v>
      </c>
      <c r="N132" s="8">
        <f t="shared" si="5"/>
        <v>46035</v>
      </c>
    </row>
    <row r="133" spans="1:14" x14ac:dyDescent="0.4">
      <c r="A133" t="s">
        <v>200</v>
      </c>
      <c r="B133">
        <v>196</v>
      </c>
      <c r="C133">
        <v>25</v>
      </c>
      <c r="D133" s="2">
        <v>46046.65625</v>
      </c>
      <c r="E133">
        <v>149</v>
      </c>
      <c r="F133" t="s">
        <v>69</v>
      </c>
      <c r="G133" t="s">
        <v>64</v>
      </c>
      <c r="H133">
        <v>84</v>
      </c>
      <c r="I133" t="str">
        <f>IFERROR(VLOOKUP($C133,Merchants!$A$2:$D$41,2,FALSE),"Merchant not found")</f>
        <v>Merchant_025</v>
      </c>
      <c r="J133" t="str">
        <f>IFERROR(VLOOKUP($C133,Merchants!$A$2:$D$41,3,FALSE),"Merchant not found")</f>
        <v>travel</v>
      </c>
      <c r="K133" t="str">
        <f>IFERROR(VLOOKUP($C133,Merchants!$A$2:$D$41,4,FALSE),"Merchant not found")</f>
        <v>South</v>
      </c>
      <c r="L133" s="3">
        <f>IFERROR(HLOOKUP(F133,Fee_Lookup!$B$1:$E$2,2,FALSE),"Method not found")</f>
        <v>0.01</v>
      </c>
      <c r="M133" s="6">
        <f t="shared" si="4"/>
        <v>1.49</v>
      </c>
      <c r="N133" s="8">
        <f t="shared" si="5"/>
        <v>46046</v>
      </c>
    </row>
    <row r="134" spans="1:14" x14ac:dyDescent="0.4">
      <c r="A134" t="s">
        <v>201</v>
      </c>
      <c r="B134">
        <v>254</v>
      </c>
      <c r="C134">
        <v>3</v>
      </c>
      <c r="D134" s="2">
        <v>46048.839583333334</v>
      </c>
      <c r="E134">
        <v>149</v>
      </c>
      <c r="F134" t="s">
        <v>78</v>
      </c>
      <c r="G134" t="s">
        <v>64</v>
      </c>
      <c r="H134">
        <v>16</v>
      </c>
      <c r="I134" t="str">
        <f>IFERROR(VLOOKUP($C134,Merchants!$A$2:$D$41,2,FALSE),"Merchant not found")</f>
        <v>Merchant_003</v>
      </c>
      <c r="J134" t="str">
        <f>IFERROR(VLOOKUP($C134,Merchants!$A$2:$D$41,3,FALSE),"Merchant not found")</f>
        <v>grocery</v>
      </c>
      <c r="K134" t="str">
        <f>IFERROR(VLOOKUP($C134,Merchants!$A$2:$D$41,4,FALSE),"Merchant not found")</f>
        <v>East</v>
      </c>
      <c r="L134" s="3">
        <f>IFERROR(HLOOKUP(F134,Fee_Lookup!$B$1:$E$2,2,FALSE),"Method not found")</f>
        <v>1.2E-2</v>
      </c>
      <c r="M134" s="6">
        <f t="shared" si="4"/>
        <v>1.788</v>
      </c>
      <c r="N134" s="8">
        <f t="shared" si="5"/>
        <v>46048</v>
      </c>
    </row>
    <row r="135" spans="1:14" x14ac:dyDescent="0.4">
      <c r="A135" t="s">
        <v>202</v>
      </c>
      <c r="B135">
        <v>52</v>
      </c>
      <c r="C135">
        <v>29</v>
      </c>
      <c r="D135" s="2">
        <v>46039.76458333333</v>
      </c>
      <c r="E135">
        <v>49</v>
      </c>
      <c r="F135" t="s">
        <v>69</v>
      </c>
      <c r="G135" t="s">
        <v>64</v>
      </c>
      <c r="H135">
        <v>12</v>
      </c>
      <c r="I135" t="str">
        <f>IFERROR(VLOOKUP($C135,Merchants!$A$2:$D$41,2,FALSE),"Merchant not found")</f>
        <v>Merchant_029</v>
      </c>
      <c r="J135" t="str">
        <f>IFERROR(VLOOKUP($C135,Merchants!$A$2:$D$41,3,FALSE),"Merchant not found")</f>
        <v>ecommerce</v>
      </c>
      <c r="K135" t="str">
        <f>IFERROR(VLOOKUP($C135,Merchants!$A$2:$D$41,4,FALSE),"Merchant not found")</f>
        <v>North</v>
      </c>
      <c r="L135" s="3">
        <f>IFERROR(HLOOKUP(F135,Fee_Lookup!$B$1:$E$2,2,FALSE),"Method not found")</f>
        <v>0.01</v>
      </c>
      <c r="M135" s="6">
        <f t="shared" si="4"/>
        <v>0.49</v>
      </c>
      <c r="N135" s="8">
        <f t="shared" si="5"/>
        <v>46039</v>
      </c>
    </row>
    <row r="136" spans="1:14" x14ac:dyDescent="0.4">
      <c r="A136" t="s">
        <v>203</v>
      </c>
      <c r="B136">
        <v>74</v>
      </c>
      <c r="C136">
        <v>27</v>
      </c>
      <c r="D136" s="2">
        <v>46039.583333333336</v>
      </c>
      <c r="E136">
        <v>799</v>
      </c>
      <c r="F136" t="s">
        <v>66</v>
      </c>
      <c r="G136" t="s">
        <v>64</v>
      </c>
      <c r="H136">
        <v>83</v>
      </c>
      <c r="I136" t="str">
        <f>IFERROR(VLOOKUP($C136,Merchants!$A$2:$D$41,2,FALSE),"Merchant not found")</f>
        <v>Merchant_027</v>
      </c>
      <c r="J136" t="str">
        <f>IFERROR(VLOOKUP($C136,Merchants!$A$2:$D$41,3,FALSE),"Merchant not found")</f>
        <v>ecommerce</v>
      </c>
      <c r="K136" t="str">
        <f>IFERROR(VLOOKUP($C136,Merchants!$A$2:$D$41,4,FALSE),"Merchant not found")</f>
        <v>North</v>
      </c>
      <c r="L136" s="3">
        <f>IFERROR(HLOOKUP(F136,Fee_Lookup!$B$1:$E$2,2,FALSE),"Method not found")</f>
        <v>5.0000000000000001E-3</v>
      </c>
      <c r="M136" s="6">
        <f t="shared" si="4"/>
        <v>3.9950000000000001</v>
      </c>
      <c r="N136" s="8">
        <f t="shared" si="5"/>
        <v>46039</v>
      </c>
    </row>
    <row r="137" spans="1:14" x14ac:dyDescent="0.4">
      <c r="A137" t="s">
        <v>204</v>
      </c>
      <c r="B137">
        <v>136</v>
      </c>
      <c r="C137">
        <v>22</v>
      </c>
      <c r="D137" s="2">
        <v>46027.104166666664</v>
      </c>
      <c r="E137">
        <v>149</v>
      </c>
      <c r="F137" t="s">
        <v>66</v>
      </c>
      <c r="G137" t="s">
        <v>64</v>
      </c>
      <c r="H137">
        <v>79</v>
      </c>
      <c r="I137" t="str">
        <f>IFERROR(VLOOKUP($C137,Merchants!$A$2:$D$41,2,FALSE),"Merchant not found")</f>
        <v>Merchant_022</v>
      </c>
      <c r="J137" t="str">
        <f>IFERROR(VLOOKUP($C137,Merchants!$A$2:$D$41,3,FALSE),"Merchant not found")</f>
        <v>travel</v>
      </c>
      <c r="K137" t="str">
        <f>IFERROR(VLOOKUP($C137,Merchants!$A$2:$D$41,4,FALSE),"Merchant not found")</f>
        <v>South</v>
      </c>
      <c r="L137" s="3">
        <f>IFERROR(HLOOKUP(F137,Fee_Lookup!$B$1:$E$2,2,FALSE),"Method not found")</f>
        <v>5.0000000000000001E-3</v>
      </c>
      <c r="M137" s="6">
        <f t="shared" si="4"/>
        <v>0.745</v>
      </c>
      <c r="N137" s="8">
        <f t="shared" si="5"/>
        <v>46027</v>
      </c>
    </row>
    <row r="138" spans="1:14" x14ac:dyDescent="0.4">
      <c r="A138" t="s">
        <v>205</v>
      </c>
      <c r="B138">
        <v>42</v>
      </c>
      <c r="C138">
        <v>22</v>
      </c>
      <c r="D138" s="2">
        <v>46045.52847222222</v>
      </c>
      <c r="E138">
        <v>49</v>
      </c>
      <c r="F138" t="s">
        <v>66</v>
      </c>
      <c r="G138" t="s">
        <v>64</v>
      </c>
      <c r="H138">
        <v>86</v>
      </c>
      <c r="I138" t="str">
        <f>IFERROR(VLOOKUP($C138,Merchants!$A$2:$D$41,2,FALSE),"Merchant not found")</f>
        <v>Merchant_022</v>
      </c>
      <c r="J138" t="str">
        <f>IFERROR(VLOOKUP($C138,Merchants!$A$2:$D$41,3,FALSE),"Merchant not found")</f>
        <v>travel</v>
      </c>
      <c r="K138" t="str">
        <f>IFERROR(VLOOKUP($C138,Merchants!$A$2:$D$41,4,FALSE),"Merchant not found")</f>
        <v>South</v>
      </c>
      <c r="L138" s="3">
        <f>IFERROR(HLOOKUP(F138,Fee_Lookup!$B$1:$E$2,2,FALSE),"Method not found")</f>
        <v>5.0000000000000001E-3</v>
      </c>
      <c r="M138" s="6">
        <f t="shared" si="4"/>
        <v>0.245</v>
      </c>
      <c r="N138" s="8">
        <f t="shared" si="5"/>
        <v>46045</v>
      </c>
    </row>
    <row r="139" spans="1:14" x14ac:dyDescent="0.4">
      <c r="A139" t="s">
        <v>206</v>
      </c>
      <c r="B139">
        <v>163</v>
      </c>
      <c r="C139">
        <v>32</v>
      </c>
      <c r="D139" s="2">
        <v>46050.724999999999</v>
      </c>
      <c r="E139">
        <v>2999</v>
      </c>
      <c r="F139" t="s">
        <v>63</v>
      </c>
      <c r="G139" t="s">
        <v>79</v>
      </c>
      <c r="H139">
        <v>69</v>
      </c>
      <c r="I139" t="str">
        <f>IFERROR(VLOOKUP($C139,Merchants!$A$2:$D$41,2,FALSE),"Merchant not found")</f>
        <v>Merchant_032</v>
      </c>
      <c r="J139" t="str">
        <f>IFERROR(VLOOKUP($C139,Merchants!$A$2:$D$41,3,FALSE),"Merchant not found")</f>
        <v>food_delivery</v>
      </c>
      <c r="K139" t="str">
        <f>IFERROR(VLOOKUP($C139,Merchants!$A$2:$D$41,4,FALSE),"Merchant not found")</f>
        <v>West</v>
      </c>
      <c r="L139" s="3">
        <f>IFERROR(HLOOKUP(F139,Fee_Lookup!$B$1:$E$2,2,FALSE),"Method not found")</f>
        <v>7.4999999999999997E-3</v>
      </c>
      <c r="M139" s="6">
        <f t="shared" si="4"/>
        <v>22.4925</v>
      </c>
      <c r="N139" s="8">
        <f t="shared" si="5"/>
        <v>46050</v>
      </c>
    </row>
    <row r="140" spans="1:14" x14ac:dyDescent="0.4">
      <c r="A140" t="s">
        <v>207</v>
      </c>
      <c r="B140">
        <v>121</v>
      </c>
      <c r="C140">
        <v>19</v>
      </c>
      <c r="D140" s="2">
        <v>46024.794444444444</v>
      </c>
      <c r="E140">
        <v>149</v>
      </c>
      <c r="F140" t="s">
        <v>66</v>
      </c>
      <c r="G140" t="s">
        <v>64</v>
      </c>
      <c r="H140">
        <v>29</v>
      </c>
      <c r="I140" t="str">
        <f>IFERROR(VLOOKUP($C140,Merchants!$A$2:$D$41,2,FALSE),"Merchant not found")</f>
        <v>Merchant_019</v>
      </c>
      <c r="J140" t="str">
        <f>IFERROR(VLOOKUP($C140,Merchants!$A$2:$D$41,3,FALSE),"Merchant not found")</f>
        <v>grocery</v>
      </c>
      <c r="K140" t="str">
        <f>IFERROR(VLOOKUP($C140,Merchants!$A$2:$D$41,4,FALSE),"Merchant not found")</f>
        <v>North</v>
      </c>
      <c r="L140" s="3">
        <f>IFERROR(HLOOKUP(F140,Fee_Lookup!$B$1:$E$2,2,FALSE),"Method not found")</f>
        <v>5.0000000000000001E-3</v>
      </c>
      <c r="M140" s="6">
        <f t="shared" si="4"/>
        <v>0.745</v>
      </c>
      <c r="N140" s="8">
        <f t="shared" si="5"/>
        <v>46024</v>
      </c>
    </row>
    <row r="141" spans="1:14" x14ac:dyDescent="0.4">
      <c r="A141" t="s">
        <v>208</v>
      </c>
      <c r="B141">
        <v>51</v>
      </c>
      <c r="C141">
        <v>7</v>
      </c>
      <c r="D141" s="2">
        <v>46046.102083333331</v>
      </c>
      <c r="E141">
        <v>499</v>
      </c>
      <c r="F141" t="s">
        <v>78</v>
      </c>
      <c r="G141" t="s">
        <v>64</v>
      </c>
      <c r="H141">
        <v>56</v>
      </c>
      <c r="I141" t="str">
        <f>IFERROR(VLOOKUP($C141,Merchants!$A$2:$D$41,2,FALSE),"Merchant not found")</f>
        <v>Merchant_007</v>
      </c>
      <c r="J141" t="str">
        <f>IFERROR(VLOOKUP($C141,Merchants!$A$2:$D$41,3,FALSE),"Merchant not found")</f>
        <v>food_delivery</v>
      </c>
      <c r="K141" t="str">
        <f>IFERROR(VLOOKUP($C141,Merchants!$A$2:$D$41,4,FALSE),"Merchant not found")</f>
        <v>East</v>
      </c>
      <c r="L141" s="3">
        <f>IFERROR(HLOOKUP(F141,Fee_Lookup!$B$1:$E$2,2,FALSE),"Method not found")</f>
        <v>1.2E-2</v>
      </c>
      <c r="M141" s="6">
        <f t="shared" si="4"/>
        <v>5.9880000000000004</v>
      </c>
      <c r="N141" s="8">
        <f t="shared" si="5"/>
        <v>46046</v>
      </c>
    </row>
    <row r="142" spans="1:14" x14ac:dyDescent="0.4">
      <c r="A142" t="s">
        <v>209</v>
      </c>
      <c r="B142">
        <v>15</v>
      </c>
      <c r="C142">
        <v>3</v>
      </c>
      <c r="D142" s="2">
        <v>46028.929861111108</v>
      </c>
      <c r="E142">
        <v>799</v>
      </c>
      <c r="F142" t="s">
        <v>66</v>
      </c>
      <c r="G142" t="s">
        <v>64</v>
      </c>
      <c r="H142">
        <v>41</v>
      </c>
      <c r="I142" t="str">
        <f>IFERROR(VLOOKUP($C142,Merchants!$A$2:$D$41,2,FALSE),"Merchant not found")</f>
        <v>Merchant_003</v>
      </c>
      <c r="J142" t="str">
        <f>IFERROR(VLOOKUP($C142,Merchants!$A$2:$D$41,3,FALSE),"Merchant not found")</f>
        <v>grocery</v>
      </c>
      <c r="K142" t="str">
        <f>IFERROR(VLOOKUP($C142,Merchants!$A$2:$D$41,4,FALSE),"Merchant not found")</f>
        <v>East</v>
      </c>
      <c r="L142" s="3">
        <f>IFERROR(HLOOKUP(F142,Fee_Lookup!$B$1:$E$2,2,FALSE),"Method not found")</f>
        <v>5.0000000000000001E-3</v>
      </c>
      <c r="M142" s="6">
        <f t="shared" si="4"/>
        <v>3.9950000000000001</v>
      </c>
      <c r="N142" s="8">
        <f t="shared" si="5"/>
        <v>46028</v>
      </c>
    </row>
    <row r="143" spans="1:14" x14ac:dyDescent="0.4">
      <c r="A143" t="s">
        <v>210</v>
      </c>
      <c r="B143">
        <v>184</v>
      </c>
      <c r="C143">
        <v>24</v>
      </c>
      <c r="D143" s="2">
        <v>46048.054166666669</v>
      </c>
      <c r="E143">
        <v>49</v>
      </c>
      <c r="F143" t="s">
        <v>66</v>
      </c>
      <c r="G143" t="s">
        <v>64</v>
      </c>
      <c r="H143">
        <v>55</v>
      </c>
      <c r="I143" t="str">
        <f>IFERROR(VLOOKUP($C143,Merchants!$A$2:$D$41,2,FALSE),"Merchant not found")</f>
        <v>Merchant_024</v>
      </c>
      <c r="J143" t="str">
        <f>IFERROR(VLOOKUP($C143,Merchants!$A$2:$D$41,3,FALSE),"Merchant not found")</f>
        <v>grocery</v>
      </c>
      <c r="K143" t="str">
        <f>IFERROR(VLOOKUP($C143,Merchants!$A$2:$D$41,4,FALSE),"Merchant not found")</f>
        <v>North</v>
      </c>
      <c r="L143" s="3">
        <f>IFERROR(HLOOKUP(F143,Fee_Lookup!$B$1:$E$2,2,FALSE),"Method not found")</f>
        <v>5.0000000000000001E-3</v>
      </c>
      <c r="M143" s="6">
        <f t="shared" si="4"/>
        <v>0.245</v>
      </c>
      <c r="N143" s="8">
        <f t="shared" si="5"/>
        <v>46048</v>
      </c>
    </row>
    <row r="144" spans="1:14" x14ac:dyDescent="0.4">
      <c r="A144" t="s">
        <v>211</v>
      </c>
      <c r="B144">
        <v>211</v>
      </c>
      <c r="C144">
        <v>37</v>
      </c>
      <c r="D144" s="2">
        <v>46027.314583333333</v>
      </c>
      <c r="E144">
        <v>1499</v>
      </c>
      <c r="F144" t="s">
        <v>66</v>
      </c>
      <c r="G144" t="s">
        <v>64</v>
      </c>
      <c r="H144">
        <v>87</v>
      </c>
      <c r="I144" t="str">
        <f>IFERROR(VLOOKUP($C144,Merchants!$A$2:$D$41,2,FALSE),"Merchant not found")</f>
        <v>Merchant_037</v>
      </c>
      <c r="J144" t="str">
        <f>IFERROR(VLOOKUP($C144,Merchants!$A$2:$D$41,3,FALSE),"Merchant not found")</f>
        <v>entertainment</v>
      </c>
      <c r="K144" t="str">
        <f>IFERROR(VLOOKUP($C144,Merchants!$A$2:$D$41,4,FALSE),"Merchant not found")</f>
        <v>South</v>
      </c>
      <c r="L144" s="3">
        <f>IFERROR(HLOOKUP(F144,Fee_Lookup!$B$1:$E$2,2,FALSE),"Method not found")</f>
        <v>5.0000000000000001E-3</v>
      </c>
      <c r="M144" s="6">
        <f t="shared" si="4"/>
        <v>7.4950000000000001</v>
      </c>
      <c r="N144" s="8">
        <f t="shared" si="5"/>
        <v>46027</v>
      </c>
    </row>
    <row r="145" spans="1:14" x14ac:dyDescent="0.4">
      <c r="A145" t="s">
        <v>212</v>
      </c>
      <c r="B145">
        <v>90</v>
      </c>
      <c r="C145">
        <v>6</v>
      </c>
      <c r="D145" s="2">
        <v>46048.215277777781</v>
      </c>
      <c r="E145">
        <v>49</v>
      </c>
      <c r="F145" t="s">
        <v>78</v>
      </c>
      <c r="G145" t="s">
        <v>64</v>
      </c>
      <c r="H145">
        <v>78</v>
      </c>
      <c r="I145" t="str">
        <f>IFERROR(VLOOKUP($C145,Merchants!$A$2:$D$41,2,FALSE),"Merchant not found")</f>
        <v>Merchant_006</v>
      </c>
      <c r="J145" t="str">
        <f>IFERROR(VLOOKUP($C145,Merchants!$A$2:$D$41,3,FALSE),"Merchant not found")</f>
        <v>food_delivery</v>
      </c>
      <c r="K145" t="str">
        <f>IFERROR(VLOOKUP($C145,Merchants!$A$2:$D$41,4,FALSE),"Merchant not found")</f>
        <v>South</v>
      </c>
      <c r="L145" s="3">
        <f>IFERROR(HLOOKUP(F145,Fee_Lookup!$B$1:$E$2,2,FALSE),"Method not found")</f>
        <v>1.2E-2</v>
      </c>
      <c r="M145" s="6">
        <f t="shared" si="4"/>
        <v>0.58799999999999997</v>
      </c>
      <c r="N145" s="8">
        <f t="shared" si="5"/>
        <v>46048</v>
      </c>
    </row>
    <row r="146" spans="1:14" x14ac:dyDescent="0.4">
      <c r="A146" t="s">
        <v>213</v>
      </c>
      <c r="B146">
        <v>350</v>
      </c>
      <c r="C146">
        <v>16</v>
      </c>
      <c r="D146" s="2">
        <v>46050.527083333334</v>
      </c>
      <c r="E146">
        <v>49</v>
      </c>
      <c r="F146" t="s">
        <v>66</v>
      </c>
      <c r="G146" t="s">
        <v>64</v>
      </c>
      <c r="H146">
        <v>63</v>
      </c>
      <c r="I146" t="str">
        <f>IFERROR(VLOOKUP($C146,Merchants!$A$2:$D$41,2,FALSE),"Merchant not found")</f>
        <v>Merchant_016</v>
      </c>
      <c r="J146" t="str">
        <f>IFERROR(VLOOKUP($C146,Merchants!$A$2:$D$41,3,FALSE),"Merchant not found")</f>
        <v>bill_payment</v>
      </c>
      <c r="K146" t="str">
        <f>IFERROR(VLOOKUP($C146,Merchants!$A$2:$D$41,4,FALSE),"Merchant not found")</f>
        <v>West</v>
      </c>
      <c r="L146" s="3">
        <f>IFERROR(HLOOKUP(F146,Fee_Lookup!$B$1:$E$2,2,FALSE),"Method not found")</f>
        <v>5.0000000000000001E-3</v>
      </c>
      <c r="M146" s="6">
        <f t="shared" si="4"/>
        <v>0.245</v>
      </c>
      <c r="N146" s="8">
        <f t="shared" si="5"/>
        <v>46050</v>
      </c>
    </row>
    <row r="147" spans="1:14" x14ac:dyDescent="0.4">
      <c r="A147" t="s">
        <v>214</v>
      </c>
      <c r="B147">
        <v>119</v>
      </c>
      <c r="C147">
        <v>30</v>
      </c>
      <c r="D147" s="2">
        <v>46052.756249999999</v>
      </c>
      <c r="E147">
        <v>49</v>
      </c>
      <c r="F147" t="s">
        <v>78</v>
      </c>
      <c r="G147" t="s">
        <v>64</v>
      </c>
      <c r="H147">
        <v>81</v>
      </c>
      <c r="I147" t="str">
        <f>IFERROR(VLOOKUP($C147,Merchants!$A$2:$D$41,2,FALSE),"Merchant not found")</f>
        <v>Merchant_030</v>
      </c>
      <c r="J147" t="str">
        <f>IFERROR(VLOOKUP($C147,Merchants!$A$2:$D$41,3,FALSE),"Merchant not found")</f>
        <v>travel</v>
      </c>
      <c r="K147" t="str">
        <f>IFERROR(VLOOKUP($C147,Merchants!$A$2:$D$41,4,FALSE),"Merchant not found")</f>
        <v>West</v>
      </c>
      <c r="L147" s="3">
        <f>IFERROR(HLOOKUP(F147,Fee_Lookup!$B$1:$E$2,2,FALSE),"Method not found")</f>
        <v>1.2E-2</v>
      </c>
      <c r="M147" s="6">
        <f t="shared" si="4"/>
        <v>0.58799999999999997</v>
      </c>
      <c r="N147" s="8">
        <f t="shared" si="5"/>
        <v>46052</v>
      </c>
    </row>
    <row r="148" spans="1:14" x14ac:dyDescent="0.4">
      <c r="A148" t="s">
        <v>215</v>
      </c>
      <c r="B148">
        <v>342</v>
      </c>
      <c r="C148">
        <v>1</v>
      </c>
      <c r="D148" s="2">
        <v>46031.594444444447</v>
      </c>
      <c r="E148">
        <v>49</v>
      </c>
      <c r="F148" t="s">
        <v>66</v>
      </c>
      <c r="G148" t="s">
        <v>64</v>
      </c>
      <c r="H148">
        <v>59</v>
      </c>
      <c r="I148" t="str">
        <f>IFERROR(VLOOKUP($C148,Merchants!$A$2:$D$41,2,FALSE),"Merchant not found")</f>
        <v>Merchant_001</v>
      </c>
      <c r="J148" t="str">
        <f>IFERROR(VLOOKUP($C148,Merchants!$A$2:$D$41,3,FALSE),"Merchant not found")</f>
        <v>ecommerce</v>
      </c>
      <c r="K148" t="str">
        <f>IFERROR(VLOOKUP($C148,Merchants!$A$2:$D$41,4,FALSE),"Merchant not found")</f>
        <v>South</v>
      </c>
      <c r="L148" s="3">
        <f>IFERROR(HLOOKUP(F148,Fee_Lookup!$B$1:$E$2,2,FALSE),"Method not found")</f>
        <v>5.0000000000000001E-3</v>
      </c>
      <c r="M148" s="6">
        <f t="shared" si="4"/>
        <v>0.245</v>
      </c>
      <c r="N148" s="8">
        <f t="shared" si="5"/>
        <v>46031</v>
      </c>
    </row>
    <row r="149" spans="1:14" x14ac:dyDescent="0.4">
      <c r="A149" t="s">
        <v>216</v>
      </c>
      <c r="B149">
        <v>280</v>
      </c>
      <c r="C149">
        <v>11</v>
      </c>
      <c r="D149" s="2">
        <v>46051.404861111114</v>
      </c>
      <c r="E149">
        <v>149</v>
      </c>
      <c r="F149" t="s">
        <v>66</v>
      </c>
      <c r="G149" t="s">
        <v>92</v>
      </c>
      <c r="H149">
        <v>9</v>
      </c>
      <c r="I149" t="str">
        <f>IFERROR(VLOOKUP($C149,Merchants!$A$2:$D$41,2,FALSE),"Merchant not found")</f>
        <v>Merchant_011</v>
      </c>
      <c r="J149" t="str">
        <f>IFERROR(VLOOKUP($C149,Merchants!$A$2:$D$41,3,FALSE),"Merchant not found")</f>
        <v>ecommerce</v>
      </c>
      <c r="K149" t="str">
        <f>IFERROR(VLOOKUP($C149,Merchants!$A$2:$D$41,4,FALSE),"Merchant not found")</f>
        <v>North</v>
      </c>
      <c r="L149" s="3">
        <f>IFERROR(HLOOKUP(F149,Fee_Lookup!$B$1:$E$2,2,FALSE),"Method not found")</f>
        <v>5.0000000000000001E-3</v>
      </c>
      <c r="M149" s="6">
        <f t="shared" si="4"/>
        <v>0.745</v>
      </c>
      <c r="N149" s="8">
        <f t="shared" si="5"/>
        <v>46051</v>
      </c>
    </row>
    <row r="150" spans="1:14" x14ac:dyDescent="0.4">
      <c r="A150" t="s">
        <v>217</v>
      </c>
      <c r="B150">
        <v>154</v>
      </c>
      <c r="C150">
        <v>28</v>
      </c>
      <c r="D150" s="2">
        <v>46037.484027777777</v>
      </c>
      <c r="E150">
        <v>2999</v>
      </c>
      <c r="F150" t="s">
        <v>69</v>
      </c>
      <c r="G150" t="s">
        <v>64</v>
      </c>
      <c r="H150">
        <v>88</v>
      </c>
      <c r="I150" t="str">
        <f>IFERROR(VLOOKUP($C150,Merchants!$A$2:$D$41,2,FALSE),"Merchant not found")</f>
        <v>Merchant_028</v>
      </c>
      <c r="J150" t="str">
        <f>IFERROR(VLOOKUP($C150,Merchants!$A$2:$D$41,3,FALSE),"Merchant not found")</f>
        <v>ecommerce</v>
      </c>
      <c r="K150" t="str">
        <f>IFERROR(VLOOKUP($C150,Merchants!$A$2:$D$41,4,FALSE),"Merchant not found")</f>
        <v>South</v>
      </c>
      <c r="L150" s="3">
        <f>IFERROR(HLOOKUP(F150,Fee_Lookup!$B$1:$E$2,2,FALSE),"Method not found")</f>
        <v>0.01</v>
      </c>
      <c r="M150" s="6">
        <f t="shared" si="4"/>
        <v>29.990000000000002</v>
      </c>
      <c r="N150" s="8">
        <f t="shared" si="5"/>
        <v>46037</v>
      </c>
    </row>
    <row r="151" spans="1:14" x14ac:dyDescent="0.4">
      <c r="A151" t="s">
        <v>218</v>
      </c>
      <c r="B151">
        <v>155</v>
      </c>
      <c r="C151">
        <v>13</v>
      </c>
      <c r="D151" s="2">
        <v>46031.620833333334</v>
      </c>
      <c r="E151">
        <v>149</v>
      </c>
      <c r="F151" t="s">
        <v>66</v>
      </c>
      <c r="G151" t="s">
        <v>64</v>
      </c>
      <c r="H151">
        <v>49</v>
      </c>
      <c r="I151" t="str">
        <f>IFERROR(VLOOKUP($C151,Merchants!$A$2:$D$41,2,FALSE),"Merchant not found")</f>
        <v>Merchant_013</v>
      </c>
      <c r="J151" t="str">
        <f>IFERROR(VLOOKUP($C151,Merchants!$A$2:$D$41,3,FALSE),"Merchant not found")</f>
        <v>travel</v>
      </c>
      <c r="K151" t="str">
        <f>IFERROR(VLOOKUP($C151,Merchants!$A$2:$D$41,4,FALSE),"Merchant not found")</f>
        <v>East</v>
      </c>
      <c r="L151" s="3">
        <f>IFERROR(HLOOKUP(F151,Fee_Lookup!$B$1:$E$2,2,FALSE),"Method not found")</f>
        <v>5.0000000000000001E-3</v>
      </c>
      <c r="M151" s="6">
        <f t="shared" si="4"/>
        <v>0.745</v>
      </c>
      <c r="N151" s="8">
        <f t="shared" si="5"/>
        <v>46031</v>
      </c>
    </row>
    <row r="152" spans="1:14" x14ac:dyDescent="0.4">
      <c r="A152" t="s">
        <v>219</v>
      </c>
      <c r="B152">
        <v>122</v>
      </c>
      <c r="C152">
        <v>25</v>
      </c>
      <c r="D152" s="2">
        <v>46050.629166666666</v>
      </c>
      <c r="E152">
        <v>299</v>
      </c>
      <c r="F152" t="s">
        <v>66</v>
      </c>
      <c r="G152" t="s">
        <v>64</v>
      </c>
      <c r="H152">
        <v>73</v>
      </c>
      <c r="I152" t="str">
        <f>IFERROR(VLOOKUP($C152,Merchants!$A$2:$D$41,2,FALSE),"Merchant not found")</f>
        <v>Merchant_025</v>
      </c>
      <c r="J152" t="str">
        <f>IFERROR(VLOOKUP($C152,Merchants!$A$2:$D$41,3,FALSE),"Merchant not found")</f>
        <v>travel</v>
      </c>
      <c r="K152" t="str">
        <f>IFERROR(VLOOKUP($C152,Merchants!$A$2:$D$41,4,FALSE),"Merchant not found")</f>
        <v>South</v>
      </c>
      <c r="L152" s="3">
        <f>IFERROR(HLOOKUP(F152,Fee_Lookup!$B$1:$E$2,2,FALSE),"Method not found")</f>
        <v>5.0000000000000001E-3</v>
      </c>
      <c r="M152" s="6">
        <f t="shared" si="4"/>
        <v>1.4950000000000001</v>
      </c>
      <c r="N152" s="8">
        <f t="shared" si="5"/>
        <v>46050</v>
      </c>
    </row>
    <row r="153" spans="1:14" x14ac:dyDescent="0.4">
      <c r="A153" t="s">
        <v>220</v>
      </c>
      <c r="B153">
        <v>152</v>
      </c>
      <c r="C153">
        <v>2</v>
      </c>
      <c r="D153" s="2">
        <v>46034.762499999997</v>
      </c>
      <c r="E153">
        <v>49</v>
      </c>
      <c r="F153" t="s">
        <v>66</v>
      </c>
      <c r="G153" t="s">
        <v>64</v>
      </c>
      <c r="H153">
        <v>84</v>
      </c>
      <c r="I153" t="str">
        <f>IFERROR(VLOOKUP($C153,Merchants!$A$2:$D$41,2,FALSE),"Merchant not found")</f>
        <v>Merchant_002</v>
      </c>
      <c r="J153" t="str">
        <f>IFERROR(VLOOKUP($C153,Merchants!$A$2:$D$41,3,FALSE),"Merchant not found")</f>
        <v>grocery</v>
      </c>
      <c r="K153" t="str">
        <f>IFERROR(VLOOKUP($C153,Merchants!$A$2:$D$41,4,FALSE),"Merchant not found")</f>
        <v>West</v>
      </c>
      <c r="L153" s="3">
        <f>IFERROR(HLOOKUP(F153,Fee_Lookup!$B$1:$E$2,2,FALSE),"Method not found")</f>
        <v>5.0000000000000001E-3</v>
      </c>
      <c r="M153" s="6">
        <f t="shared" si="4"/>
        <v>0.245</v>
      </c>
      <c r="N153" s="8">
        <f t="shared" si="5"/>
        <v>46034</v>
      </c>
    </row>
    <row r="154" spans="1:14" x14ac:dyDescent="0.4">
      <c r="A154" t="s">
        <v>221</v>
      </c>
      <c r="B154">
        <v>290</v>
      </c>
      <c r="C154">
        <v>4</v>
      </c>
      <c r="D154" s="2">
        <v>46035.333333333336</v>
      </c>
      <c r="E154">
        <v>149</v>
      </c>
      <c r="F154" t="s">
        <v>66</v>
      </c>
      <c r="G154" t="s">
        <v>64</v>
      </c>
      <c r="H154">
        <v>77</v>
      </c>
      <c r="I154" t="str">
        <f>IFERROR(VLOOKUP($C154,Merchants!$A$2:$D$41,2,FALSE),"Merchant not found")</f>
        <v>Merchant_004</v>
      </c>
      <c r="J154" t="str">
        <f>IFERROR(VLOOKUP($C154,Merchants!$A$2:$D$41,3,FALSE),"Merchant not found")</f>
        <v>ecommerce</v>
      </c>
      <c r="K154" t="str">
        <f>IFERROR(VLOOKUP($C154,Merchants!$A$2:$D$41,4,FALSE),"Merchant not found")</f>
        <v>East</v>
      </c>
      <c r="L154" s="3">
        <f>IFERROR(HLOOKUP(F154,Fee_Lookup!$B$1:$E$2,2,FALSE),"Method not found")</f>
        <v>5.0000000000000001E-3</v>
      </c>
      <c r="M154" s="6">
        <f t="shared" si="4"/>
        <v>0.745</v>
      </c>
      <c r="N154" s="8">
        <f t="shared" si="5"/>
        <v>46035</v>
      </c>
    </row>
    <row r="155" spans="1:14" x14ac:dyDescent="0.4">
      <c r="A155" t="s">
        <v>222</v>
      </c>
      <c r="B155">
        <v>147</v>
      </c>
      <c r="C155">
        <v>15</v>
      </c>
      <c r="D155" s="2">
        <v>46046.661805555559</v>
      </c>
      <c r="E155">
        <v>49</v>
      </c>
      <c r="F155" t="s">
        <v>63</v>
      </c>
      <c r="G155" t="s">
        <v>64</v>
      </c>
      <c r="H155">
        <v>77</v>
      </c>
      <c r="I155" t="str">
        <f>IFERROR(VLOOKUP($C155,Merchants!$A$2:$D$41,2,FALSE),"Merchant not found")</f>
        <v>Merchant_015</v>
      </c>
      <c r="J155" t="str">
        <f>IFERROR(VLOOKUP($C155,Merchants!$A$2:$D$41,3,FALSE),"Merchant not found")</f>
        <v>travel</v>
      </c>
      <c r="K155" t="str">
        <f>IFERROR(VLOOKUP($C155,Merchants!$A$2:$D$41,4,FALSE),"Merchant not found")</f>
        <v>North</v>
      </c>
      <c r="L155" s="3">
        <f>IFERROR(HLOOKUP(F155,Fee_Lookup!$B$1:$E$2,2,FALSE),"Method not found")</f>
        <v>7.4999999999999997E-3</v>
      </c>
      <c r="M155" s="6">
        <f t="shared" si="4"/>
        <v>0.36749999999999999</v>
      </c>
      <c r="N155" s="8">
        <f t="shared" si="5"/>
        <v>46046</v>
      </c>
    </row>
    <row r="156" spans="1:14" x14ac:dyDescent="0.4">
      <c r="A156" t="s">
        <v>223</v>
      </c>
      <c r="B156">
        <v>326</v>
      </c>
      <c r="C156">
        <v>13</v>
      </c>
      <c r="D156" s="2">
        <v>46048.468055555553</v>
      </c>
      <c r="E156">
        <v>299</v>
      </c>
      <c r="F156" t="s">
        <v>69</v>
      </c>
      <c r="G156" t="s">
        <v>64</v>
      </c>
      <c r="H156">
        <v>79</v>
      </c>
      <c r="I156" t="str">
        <f>IFERROR(VLOOKUP($C156,Merchants!$A$2:$D$41,2,FALSE),"Merchant not found")</f>
        <v>Merchant_013</v>
      </c>
      <c r="J156" t="str">
        <f>IFERROR(VLOOKUP($C156,Merchants!$A$2:$D$41,3,FALSE),"Merchant not found")</f>
        <v>travel</v>
      </c>
      <c r="K156" t="str">
        <f>IFERROR(VLOOKUP($C156,Merchants!$A$2:$D$41,4,FALSE),"Merchant not found")</f>
        <v>East</v>
      </c>
      <c r="L156" s="3">
        <f>IFERROR(HLOOKUP(F156,Fee_Lookup!$B$1:$E$2,2,FALSE),"Method not found")</f>
        <v>0.01</v>
      </c>
      <c r="M156" s="6">
        <f t="shared" si="4"/>
        <v>2.99</v>
      </c>
      <c r="N156" s="8">
        <f t="shared" si="5"/>
        <v>46048</v>
      </c>
    </row>
    <row r="157" spans="1:14" x14ac:dyDescent="0.4">
      <c r="A157" t="s">
        <v>224</v>
      </c>
      <c r="B157">
        <v>338</v>
      </c>
      <c r="C157">
        <v>9</v>
      </c>
      <c r="D157" s="2">
        <v>46031.908333333333</v>
      </c>
      <c r="E157">
        <v>99</v>
      </c>
      <c r="F157" t="s">
        <v>78</v>
      </c>
      <c r="G157" t="s">
        <v>64</v>
      </c>
      <c r="H157">
        <v>80</v>
      </c>
      <c r="I157" t="str">
        <f>IFERROR(VLOOKUP($C157,Merchants!$A$2:$D$41,2,FALSE),"Merchant not found")</f>
        <v>Merchant_009</v>
      </c>
      <c r="J157" t="str">
        <f>IFERROR(VLOOKUP($C157,Merchants!$A$2:$D$41,3,FALSE),"Merchant not found")</f>
        <v>ecommerce</v>
      </c>
      <c r="K157" t="str">
        <f>IFERROR(VLOOKUP($C157,Merchants!$A$2:$D$41,4,FALSE),"Merchant not found")</f>
        <v>North</v>
      </c>
      <c r="L157" s="3">
        <f>IFERROR(HLOOKUP(F157,Fee_Lookup!$B$1:$E$2,2,FALSE),"Method not found")</f>
        <v>1.2E-2</v>
      </c>
      <c r="M157" s="6">
        <f t="shared" si="4"/>
        <v>1.1879999999999999</v>
      </c>
      <c r="N157" s="8">
        <f t="shared" si="5"/>
        <v>46031</v>
      </c>
    </row>
    <row r="158" spans="1:14" x14ac:dyDescent="0.4">
      <c r="A158" t="s">
        <v>225</v>
      </c>
      <c r="B158">
        <v>21</v>
      </c>
      <c r="C158">
        <v>20</v>
      </c>
      <c r="D158" s="2">
        <v>46026.861805555556</v>
      </c>
      <c r="E158">
        <v>2999</v>
      </c>
      <c r="F158" t="s">
        <v>66</v>
      </c>
      <c r="G158" t="s">
        <v>64</v>
      </c>
      <c r="H158">
        <v>100</v>
      </c>
      <c r="I158" t="str">
        <f>IFERROR(VLOOKUP($C158,Merchants!$A$2:$D$41,2,FALSE),"Merchant not found")</f>
        <v>Merchant_020</v>
      </c>
      <c r="J158" t="str">
        <f>IFERROR(VLOOKUP($C158,Merchants!$A$2:$D$41,3,FALSE),"Merchant not found")</f>
        <v>food_delivery</v>
      </c>
      <c r="K158" t="str">
        <f>IFERROR(VLOOKUP($C158,Merchants!$A$2:$D$41,4,FALSE),"Merchant not found")</f>
        <v>East</v>
      </c>
      <c r="L158" s="3">
        <f>IFERROR(HLOOKUP(F158,Fee_Lookup!$B$1:$E$2,2,FALSE),"Method not found")</f>
        <v>5.0000000000000001E-3</v>
      </c>
      <c r="M158" s="6">
        <f t="shared" si="4"/>
        <v>14.995000000000001</v>
      </c>
      <c r="N158" s="8">
        <f t="shared" si="5"/>
        <v>46026</v>
      </c>
    </row>
    <row r="159" spans="1:14" x14ac:dyDescent="0.4">
      <c r="A159" t="s">
        <v>226</v>
      </c>
      <c r="B159">
        <v>187</v>
      </c>
      <c r="C159">
        <v>9</v>
      </c>
      <c r="D159" s="2">
        <v>46037.067361111112</v>
      </c>
      <c r="E159">
        <v>49</v>
      </c>
      <c r="F159" t="s">
        <v>78</v>
      </c>
      <c r="G159" t="s">
        <v>79</v>
      </c>
      <c r="H159">
        <v>11</v>
      </c>
      <c r="I159" t="str">
        <f>IFERROR(VLOOKUP($C159,Merchants!$A$2:$D$41,2,FALSE),"Merchant not found")</f>
        <v>Merchant_009</v>
      </c>
      <c r="J159" t="str">
        <f>IFERROR(VLOOKUP($C159,Merchants!$A$2:$D$41,3,FALSE),"Merchant not found")</f>
        <v>ecommerce</v>
      </c>
      <c r="K159" t="str">
        <f>IFERROR(VLOOKUP($C159,Merchants!$A$2:$D$41,4,FALSE),"Merchant not found")</f>
        <v>North</v>
      </c>
      <c r="L159" s="3">
        <f>IFERROR(HLOOKUP(F159,Fee_Lookup!$B$1:$E$2,2,FALSE),"Method not found")</f>
        <v>1.2E-2</v>
      </c>
      <c r="M159" s="6">
        <f t="shared" si="4"/>
        <v>0.58799999999999997</v>
      </c>
      <c r="N159" s="8">
        <f t="shared" si="5"/>
        <v>46037</v>
      </c>
    </row>
    <row r="160" spans="1:14" x14ac:dyDescent="0.4">
      <c r="A160" t="s">
        <v>227</v>
      </c>
      <c r="B160">
        <v>213</v>
      </c>
      <c r="C160">
        <v>12</v>
      </c>
      <c r="D160" s="2">
        <v>46052.388888888891</v>
      </c>
      <c r="E160">
        <v>4999</v>
      </c>
      <c r="F160" t="s">
        <v>66</v>
      </c>
      <c r="G160" t="s">
        <v>64</v>
      </c>
      <c r="H160">
        <v>25</v>
      </c>
      <c r="I160" t="str">
        <f>IFERROR(VLOOKUP($C160,Merchants!$A$2:$D$41,2,FALSE),"Merchant not found")</f>
        <v>Merchant_012</v>
      </c>
      <c r="J160" t="str">
        <f>IFERROR(VLOOKUP($C160,Merchants!$A$2:$D$41,3,FALSE),"Merchant not found")</f>
        <v>ecommerce</v>
      </c>
      <c r="K160" t="str">
        <f>IFERROR(VLOOKUP($C160,Merchants!$A$2:$D$41,4,FALSE),"Merchant not found")</f>
        <v>East</v>
      </c>
      <c r="L160" s="3">
        <f>IFERROR(HLOOKUP(F160,Fee_Lookup!$B$1:$E$2,2,FALSE),"Method not found")</f>
        <v>5.0000000000000001E-3</v>
      </c>
      <c r="M160" s="6">
        <f t="shared" si="4"/>
        <v>24.995000000000001</v>
      </c>
      <c r="N160" s="8">
        <f t="shared" si="5"/>
        <v>46052</v>
      </c>
    </row>
    <row r="161" spans="1:14" x14ac:dyDescent="0.4">
      <c r="A161" t="s">
        <v>228</v>
      </c>
      <c r="B161">
        <v>188</v>
      </c>
      <c r="C161">
        <v>34</v>
      </c>
      <c r="D161" s="2">
        <v>46027.74722222222</v>
      </c>
      <c r="E161">
        <v>2999</v>
      </c>
      <c r="F161" t="s">
        <v>66</v>
      </c>
      <c r="G161" t="s">
        <v>64</v>
      </c>
      <c r="H161">
        <v>64</v>
      </c>
      <c r="I161" t="str">
        <f>IFERROR(VLOOKUP($C161,Merchants!$A$2:$D$41,2,FALSE),"Merchant not found")</f>
        <v>Merchant_034</v>
      </c>
      <c r="J161" t="str">
        <f>IFERROR(VLOOKUP($C161,Merchants!$A$2:$D$41,3,FALSE),"Merchant not found")</f>
        <v>travel</v>
      </c>
      <c r="K161" t="str">
        <f>IFERROR(VLOOKUP($C161,Merchants!$A$2:$D$41,4,FALSE),"Merchant not found")</f>
        <v>South</v>
      </c>
      <c r="L161" s="3">
        <f>IFERROR(HLOOKUP(F161,Fee_Lookup!$B$1:$E$2,2,FALSE),"Method not found")</f>
        <v>5.0000000000000001E-3</v>
      </c>
      <c r="M161" s="6">
        <f t="shared" si="4"/>
        <v>14.995000000000001</v>
      </c>
      <c r="N161" s="8">
        <f t="shared" si="5"/>
        <v>46027</v>
      </c>
    </row>
    <row r="162" spans="1:14" x14ac:dyDescent="0.4">
      <c r="A162" t="s">
        <v>229</v>
      </c>
      <c r="B162">
        <v>85</v>
      </c>
      <c r="C162">
        <v>17</v>
      </c>
      <c r="D162" s="2">
        <v>46052.370138888888</v>
      </c>
      <c r="E162">
        <v>499</v>
      </c>
      <c r="F162" t="s">
        <v>66</v>
      </c>
      <c r="G162" t="s">
        <v>64</v>
      </c>
      <c r="H162">
        <v>61</v>
      </c>
      <c r="I162" t="str">
        <f>IFERROR(VLOOKUP($C162,Merchants!$A$2:$D$41,2,FALSE),"Merchant not found")</f>
        <v>Merchant_017</v>
      </c>
      <c r="J162" t="str">
        <f>IFERROR(VLOOKUP($C162,Merchants!$A$2:$D$41,3,FALSE),"Merchant not found")</f>
        <v>grocery</v>
      </c>
      <c r="K162" t="str">
        <f>IFERROR(VLOOKUP($C162,Merchants!$A$2:$D$41,4,FALSE),"Merchant not found")</f>
        <v>North</v>
      </c>
      <c r="L162" s="3">
        <f>IFERROR(HLOOKUP(F162,Fee_Lookup!$B$1:$E$2,2,FALSE),"Method not found")</f>
        <v>5.0000000000000001E-3</v>
      </c>
      <c r="M162" s="6">
        <f t="shared" si="4"/>
        <v>2.4950000000000001</v>
      </c>
      <c r="N162" s="8">
        <f t="shared" si="5"/>
        <v>46052</v>
      </c>
    </row>
    <row r="163" spans="1:14" x14ac:dyDescent="0.4">
      <c r="A163" t="s">
        <v>230</v>
      </c>
      <c r="B163">
        <v>174</v>
      </c>
      <c r="C163">
        <v>8</v>
      </c>
      <c r="D163" s="2">
        <v>46048.407638888886</v>
      </c>
      <c r="E163">
        <v>299</v>
      </c>
      <c r="F163" t="s">
        <v>69</v>
      </c>
      <c r="G163" t="s">
        <v>64</v>
      </c>
      <c r="H163">
        <v>59</v>
      </c>
      <c r="I163" t="str">
        <f>IFERROR(VLOOKUP($C163,Merchants!$A$2:$D$41,2,FALSE),"Merchant not found")</f>
        <v>Merchant_008</v>
      </c>
      <c r="J163" t="str">
        <f>IFERROR(VLOOKUP($C163,Merchants!$A$2:$D$41,3,FALSE),"Merchant not found")</f>
        <v>food_delivery</v>
      </c>
      <c r="K163" t="str">
        <f>IFERROR(VLOOKUP($C163,Merchants!$A$2:$D$41,4,FALSE),"Merchant not found")</f>
        <v>North</v>
      </c>
      <c r="L163" s="3">
        <f>IFERROR(HLOOKUP(F163,Fee_Lookup!$B$1:$E$2,2,FALSE),"Method not found")</f>
        <v>0.01</v>
      </c>
      <c r="M163" s="6">
        <f t="shared" si="4"/>
        <v>2.99</v>
      </c>
      <c r="N163" s="8">
        <f t="shared" si="5"/>
        <v>46048</v>
      </c>
    </row>
    <row r="164" spans="1:14" x14ac:dyDescent="0.4">
      <c r="A164" t="s">
        <v>231</v>
      </c>
      <c r="B164">
        <v>116</v>
      </c>
      <c r="C164">
        <v>26</v>
      </c>
      <c r="D164" s="2">
        <v>46025.2</v>
      </c>
      <c r="E164">
        <v>99</v>
      </c>
      <c r="F164" t="s">
        <v>69</v>
      </c>
      <c r="G164" t="s">
        <v>64</v>
      </c>
      <c r="H164">
        <v>71</v>
      </c>
      <c r="I164" t="str">
        <f>IFERROR(VLOOKUP($C164,Merchants!$A$2:$D$41,2,FALSE),"Merchant not found")</f>
        <v>Merchant_026</v>
      </c>
      <c r="J164" t="str">
        <f>IFERROR(VLOOKUP($C164,Merchants!$A$2:$D$41,3,FALSE),"Merchant not found")</f>
        <v>food_delivery</v>
      </c>
      <c r="K164" t="str">
        <f>IFERROR(VLOOKUP($C164,Merchants!$A$2:$D$41,4,FALSE),"Merchant not found")</f>
        <v>East</v>
      </c>
      <c r="L164" s="3">
        <f>IFERROR(HLOOKUP(F164,Fee_Lookup!$B$1:$E$2,2,FALSE),"Method not found")</f>
        <v>0.01</v>
      </c>
      <c r="M164" s="6">
        <f t="shared" si="4"/>
        <v>0.99</v>
      </c>
      <c r="N164" s="8">
        <f t="shared" si="5"/>
        <v>46025</v>
      </c>
    </row>
    <row r="165" spans="1:14" x14ac:dyDescent="0.4">
      <c r="A165" t="s">
        <v>232</v>
      </c>
      <c r="B165">
        <v>203</v>
      </c>
      <c r="C165">
        <v>1</v>
      </c>
      <c r="D165" s="2">
        <v>46034.118055555555</v>
      </c>
      <c r="E165">
        <v>149</v>
      </c>
      <c r="F165" t="s">
        <v>63</v>
      </c>
      <c r="G165" t="s">
        <v>64</v>
      </c>
      <c r="H165">
        <v>33</v>
      </c>
      <c r="I165" t="str">
        <f>IFERROR(VLOOKUP($C165,Merchants!$A$2:$D$41,2,FALSE),"Merchant not found")</f>
        <v>Merchant_001</v>
      </c>
      <c r="J165" t="str">
        <f>IFERROR(VLOOKUP($C165,Merchants!$A$2:$D$41,3,FALSE),"Merchant not found")</f>
        <v>ecommerce</v>
      </c>
      <c r="K165" t="str">
        <f>IFERROR(VLOOKUP($C165,Merchants!$A$2:$D$41,4,FALSE),"Merchant not found")</f>
        <v>South</v>
      </c>
      <c r="L165" s="3">
        <f>IFERROR(HLOOKUP(F165,Fee_Lookup!$B$1:$E$2,2,FALSE),"Method not found")</f>
        <v>7.4999999999999997E-3</v>
      </c>
      <c r="M165" s="6">
        <f t="shared" si="4"/>
        <v>1.1174999999999999</v>
      </c>
      <c r="N165" s="8">
        <f t="shared" si="5"/>
        <v>46034</v>
      </c>
    </row>
    <row r="166" spans="1:14" x14ac:dyDescent="0.4">
      <c r="A166" t="s">
        <v>233</v>
      </c>
      <c r="B166">
        <v>189</v>
      </c>
      <c r="C166">
        <v>17</v>
      </c>
      <c r="D166" s="2">
        <v>46040.145138888889</v>
      </c>
      <c r="E166">
        <v>99</v>
      </c>
      <c r="F166" t="s">
        <v>66</v>
      </c>
      <c r="G166" t="s">
        <v>64</v>
      </c>
      <c r="H166">
        <v>74</v>
      </c>
      <c r="I166" t="str">
        <f>IFERROR(VLOOKUP($C166,Merchants!$A$2:$D$41,2,FALSE),"Merchant not found")</f>
        <v>Merchant_017</v>
      </c>
      <c r="J166" t="str">
        <f>IFERROR(VLOOKUP($C166,Merchants!$A$2:$D$41,3,FALSE),"Merchant not found")</f>
        <v>grocery</v>
      </c>
      <c r="K166" t="str">
        <f>IFERROR(VLOOKUP($C166,Merchants!$A$2:$D$41,4,FALSE),"Merchant not found")</f>
        <v>North</v>
      </c>
      <c r="L166" s="3">
        <f>IFERROR(HLOOKUP(F166,Fee_Lookup!$B$1:$E$2,2,FALSE),"Method not found")</f>
        <v>5.0000000000000001E-3</v>
      </c>
      <c r="M166" s="6">
        <f t="shared" si="4"/>
        <v>0.495</v>
      </c>
      <c r="N166" s="8">
        <f t="shared" si="5"/>
        <v>46040</v>
      </c>
    </row>
    <row r="167" spans="1:14" x14ac:dyDescent="0.4">
      <c r="A167" t="s">
        <v>234</v>
      </c>
      <c r="B167">
        <v>56</v>
      </c>
      <c r="C167">
        <v>15</v>
      </c>
      <c r="D167" s="2">
        <v>46035.849305555559</v>
      </c>
      <c r="E167">
        <v>299</v>
      </c>
      <c r="F167" t="s">
        <v>66</v>
      </c>
      <c r="G167" t="s">
        <v>64</v>
      </c>
      <c r="H167">
        <v>60</v>
      </c>
      <c r="I167" t="str">
        <f>IFERROR(VLOOKUP($C167,Merchants!$A$2:$D$41,2,FALSE),"Merchant not found")</f>
        <v>Merchant_015</v>
      </c>
      <c r="J167" t="str">
        <f>IFERROR(VLOOKUP($C167,Merchants!$A$2:$D$41,3,FALSE),"Merchant not found")</f>
        <v>travel</v>
      </c>
      <c r="K167" t="str">
        <f>IFERROR(VLOOKUP($C167,Merchants!$A$2:$D$41,4,FALSE),"Merchant not found")</f>
        <v>North</v>
      </c>
      <c r="L167" s="3">
        <f>IFERROR(HLOOKUP(F167,Fee_Lookup!$B$1:$E$2,2,FALSE),"Method not found")</f>
        <v>5.0000000000000001E-3</v>
      </c>
      <c r="M167" s="6">
        <f t="shared" si="4"/>
        <v>1.4950000000000001</v>
      </c>
      <c r="N167" s="8">
        <f t="shared" si="5"/>
        <v>46035</v>
      </c>
    </row>
    <row r="168" spans="1:14" x14ac:dyDescent="0.4">
      <c r="A168" t="s">
        <v>235</v>
      </c>
      <c r="B168">
        <v>288</v>
      </c>
      <c r="C168">
        <v>21</v>
      </c>
      <c r="D168" s="2">
        <v>46023.830555555556</v>
      </c>
      <c r="E168">
        <v>4999</v>
      </c>
      <c r="F168" t="s">
        <v>63</v>
      </c>
      <c r="G168" t="s">
        <v>79</v>
      </c>
      <c r="H168">
        <v>78</v>
      </c>
      <c r="I168" t="str">
        <f>IFERROR(VLOOKUP($C168,Merchants!$A$2:$D$41,2,FALSE),"Merchant not found")</f>
        <v>Merchant_021</v>
      </c>
      <c r="J168" t="str">
        <f>IFERROR(VLOOKUP($C168,Merchants!$A$2:$D$41,3,FALSE),"Merchant not found")</f>
        <v>food_delivery</v>
      </c>
      <c r="K168" t="str">
        <f>IFERROR(VLOOKUP($C168,Merchants!$A$2:$D$41,4,FALSE),"Merchant not found")</f>
        <v>East</v>
      </c>
      <c r="L168" s="3">
        <f>IFERROR(HLOOKUP(F168,Fee_Lookup!$B$1:$E$2,2,FALSE),"Method not found")</f>
        <v>7.4999999999999997E-3</v>
      </c>
      <c r="M168" s="6">
        <f t="shared" si="4"/>
        <v>37.4925</v>
      </c>
      <c r="N168" s="8">
        <f t="shared" si="5"/>
        <v>46023</v>
      </c>
    </row>
    <row r="169" spans="1:14" x14ac:dyDescent="0.4">
      <c r="A169" t="s">
        <v>236</v>
      </c>
      <c r="B169">
        <v>326</v>
      </c>
      <c r="C169">
        <v>30</v>
      </c>
      <c r="D169" s="2">
        <v>46030.836111111108</v>
      </c>
      <c r="E169">
        <v>99</v>
      </c>
      <c r="F169" t="s">
        <v>78</v>
      </c>
      <c r="G169" t="s">
        <v>64</v>
      </c>
      <c r="H169">
        <v>89</v>
      </c>
      <c r="I169" t="str">
        <f>IFERROR(VLOOKUP($C169,Merchants!$A$2:$D$41,2,FALSE),"Merchant not found")</f>
        <v>Merchant_030</v>
      </c>
      <c r="J169" t="str">
        <f>IFERROR(VLOOKUP($C169,Merchants!$A$2:$D$41,3,FALSE),"Merchant not found")</f>
        <v>travel</v>
      </c>
      <c r="K169" t="str">
        <f>IFERROR(VLOOKUP($C169,Merchants!$A$2:$D$41,4,FALSE),"Merchant not found")</f>
        <v>West</v>
      </c>
      <c r="L169" s="3">
        <f>IFERROR(HLOOKUP(F169,Fee_Lookup!$B$1:$E$2,2,FALSE),"Method not found")</f>
        <v>1.2E-2</v>
      </c>
      <c r="M169" s="6">
        <f t="shared" si="4"/>
        <v>1.1879999999999999</v>
      </c>
      <c r="N169" s="8">
        <f t="shared" si="5"/>
        <v>46030</v>
      </c>
    </row>
    <row r="170" spans="1:14" x14ac:dyDescent="0.4">
      <c r="A170" t="s">
        <v>237</v>
      </c>
      <c r="B170">
        <v>60</v>
      </c>
      <c r="C170">
        <v>9</v>
      </c>
      <c r="D170" s="2">
        <v>46032.851388888892</v>
      </c>
      <c r="E170">
        <v>49</v>
      </c>
      <c r="F170" t="s">
        <v>69</v>
      </c>
      <c r="G170" t="s">
        <v>64</v>
      </c>
      <c r="H170">
        <v>5</v>
      </c>
      <c r="I170" t="str">
        <f>IFERROR(VLOOKUP($C170,Merchants!$A$2:$D$41,2,FALSE),"Merchant not found")</f>
        <v>Merchant_009</v>
      </c>
      <c r="J170" t="str">
        <f>IFERROR(VLOOKUP($C170,Merchants!$A$2:$D$41,3,FALSE),"Merchant not found")</f>
        <v>ecommerce</v>
      </c>
      <c r="K170" t="str">
        <f>IFERROR(VLOOKUP($C170,Merchants!$A$2:$D$41,4,FALSE),"Merchant not found")</f>
        <v>North</v>
      </c>
      <c r="L170" s="3">
        <f>IFERROR(HLOOKUP(F170,Fee_Lookup!$B$1:$E$2,2,FALSE),"Method not found")</f>
        <v>0.01</v>
      </c>
      <c r="M170" s="6">
        <f t="shared" si="4"/>
        <v>0.49</v>
      </c>
      <c r="N170" s="8">
        <f t="shared" si="5"/>
        <v>46032</v>
      </c>
    </row>
    <row r="171" spans="1:14" x14ac:dyDescent="0.4">
      <c r="A171" t="s">
        <v>238</v>
      </c>
      <c r="B171">
        <v>60</v>
      </c>
      <c r="C171">
        <v>7</v>
      </c>
      <c r="D171" s="2">
        <v>46024.396527777775</v>
      </c>
      <c r="E171">
        <v>2999</v>
      </c>
      <c r="F171" t="s">
        <v>63</v>
      </c>
      <c r="G171" t="s">
        <v>64</v>
      </c>
      <c r="H171">
        <v>30</v>
      </c>
      <c r="I171" t="str">
        <f>IFERROR(VLOOKUP($C171,Merchants!$A$2:$D$41,2,FALSE),"Merchant not found")</f>
        <v>Merchant_007</v>
      </c>
      <c r="J171" t="str">
        <f>IFERROR(VLOOKUP($C171,Merchants!$A$2:$D$41,3,FALSE),"Merchant not found")</f>
        <v>food_delivery</v>
      </c>
      <c r="K171" t="str">
        <f>IFERROR(VLOOKUP($C171,Merchants!$A$2:$D$41,4,FALSE),"Merchant not found")</f>
        <v>East</v>
      </c>
      <c r="L171" s="3">
        <f>IFERROR(HLOOKUP(F171,Fee_Lookup!$B$1:$E$2,2,FALSE),"Method not found")</f>
        <v>7.4999999999999997E-3</v>
      </c>
      <c r="M171" s="6">
        <f t="shared" si="4"/>
        <v>22.4925</v>
      </c>
      <c r="N171" s="8">
        <f t="shared" si="5"/>
        <v>46024</v>
      </c>
    </row>
    <row r="172" spans="1:14" x14ac:dyDescent="0.4">
      <c r="A172" t="s">
        <v>239</v>
      </c>
      <c r="B172">
        <v>199</v>
      </c>
      <c r="C172">
        <v>30</v>
      </c>
      <c r="D172" s="2">
        <v>46051.713888888888</v>
      </c>
      <c r="E172">
        <v>149</v>
      </c>
      <c r="F172" t="s">
        <v>69</v>
      </c>
      <c r="G172" t="s">
        <v>64</v>
      </c>
      <c r="H172">
        <v>47</v>
      </c>
      <c r="I172" t="str">
        <f>IFERROR(VLOOKUP($C172,Merchants!$A$2:$D$41,2,FALSE),"Merchant not found")</f>
        <v>Merchant_030</v>
      </c>
      <c r="J172" t="str">
        <f>IFERROR(VLOOKUP($C172,Merchants!$A$2:$D$41,3,FALSE),"Merchant not found")</f>
        <v>travel</v>
      </c>
      <c r="K172" t="str">
        <f>IFERROR(VLOOKUP($C172,Merchants!$A$2:$D$41,4,FALSE),"Merchant not found")</f>
        <v>West</v>
      </c>
      <c r="L172" s="3">
        <f>IFERROR(HLOOKUP(F172,Fee_Lookup!$B$1:$E$2,2,FALSE),"Method not found")</f>
        <v>0.01</v>
      </c>
      <c r="M172" s="6">
        <f t="shared" si="4"/>
        <v>1.49</v>
      </c>
      <c r="N172" s="8">
        <f t="shared" si="5"/>
        <v>46051</v>
      </c>
    </row>
    <row r="173" spans="1:14" x14ac:dyDescent="0.4">
      <c r="A173" t="s">
        <v>240</v>
      </c>
      <c r="B173">
        <v>277</v>
      </c>
      <c r="C173">
        <v>27</v>
      </c>
      <c r="D173" s="2">
        <v>46044.988888888889</v>
      </c>
      <c r="E173">
        <v>49</v>
      </c>
      <c r="F173" t="s">
        <v>66</v>
      </c>
      <c r="G173" t="s">
        <v>64</v>
      </c>
      <c r="H173">
        <v>75</v>
      </c>
      <c r="I173" t="str">
        <f>IFERROR(VLOOKUP($C173,Merchants!$A$2:$D$41,2,FALSE),"Merchant not found")</f>
        <v>Merchant_027</v>
      </c>
      <c r="J173" t="str">
        <f>IFERROR(VLOOKUP($C173,Merchants!$A$2:$D$41,3,FALSE),"Merchant not found")</f>
        <v>ecommerce</v>
      </c>
      <c r="K173" t="str">
        <f>IFERROR(VLOOKUP($C173,Merchants!$A$2:$D$41,4,FALSE),"Merchant not found")</f>
        <v>North</v>
      </c>
      <c r="L173" s="3">
        <f>IFERROR(HLOOKUP(F173,Fee_Lookup!$B$1:$E$2,2,FALSE),"Method not found")</f>
        <v>5.0000000000000001E-3</v>
      </c>
      <c r="M173" s="6">
        <f t="shared" si="4"/>
        <v>0.245</v>
      </c>
      <c r="N173" s="8">
        <f t="shared" si="5"/>
        <v>46044</v>
      </c>
    </row>
    <row r="174" spans="1:14" x14ac:dyDescent="0.4">
      <c r="A174" t="s">
        <v>241</v>
      </c>
      <c r="B174">
        <v>213</v>
      </c>
      <c r="C174">
        <v>7</v>
      </c>
      <c r="D174" s="2">
        <v>46046.964583333334</v>
      </c>
      <c r="E174">
        <v>799</v>
      </c>
      <c r="F174" t="s">
        <v>69</v>
      </c>
      <c r="G174" t="s">
        <v>64</v>
      </c>
      <c r="H174">
        <v>62</v>
      </c>
      <c r="I174" t="str">
        <f>IFERROR(VLOOKUP($C174,Merchants!$A$2:$D$41,2,FALSE),"Merchant not found")</f>
        <v>Merchant_007</v>
      </c>
      <c r="J174" t="str">
        <f>IFERROR(VLOOKUP($C174,Merchants!$A$2:$D$41,3,FALSE),"Merchant not found")</f>
        <v>food_delivery</v>
      </c>
      <c r="K174" t="str">
        <f>IFERROR(VLOOKUP($C174,Merchants!$A$2:$D$41,4,FALSE),"Merchant not found")</f>
        <v>East</v>
      </c>
      <c r="L174" s="3">
        <f>IFERROR(HLOOKUP(F174,Fee_Lookup!$B$1:$E$2,2,FALSE),"Method not found")</f>
        <v>0.01</v>
      </c>
      <c r="M174" s="6">
        <f t="shared" si="4"/>
        <v>7.99</v>
      </c>
      <c r="N174" s="8">
        <f t="shared" si="5"/>
        <v>46046</v>
      </c>
    </row>
    <row r="175" spans="1:14" x14ac:dyDescent="0.4">
      <c r="A175" t="s">
        <v>242</v>
      </c>
      <c r="B175">
        <v>17</v>
      </c>
      <c r="C175">
        <v>24</v>
      </c>
      <c r="D175" s="2">
        <v>46042.553472222222</v>
      </c>
      <c r="E175">
        <v>299</v>
      </c>
      <c r="F175" t="s">
        <v>66</v>
      </c>
      <c r="G175" t="s">
        <v>64</v>
      </c>
      <c r="H175">
        <v>27</v>
      </c>
      <c r="I175" t="str">
        <f>IFERROR(VLOOKUP($C175,Merchants!$A$2:$D$41,2,FALSE),"Merchant not found")</f>
        <v>Merchant_024</v>
      </c>
      <c r="J175" t="str">
        <f>IFERROR(VLOOKUP($C175,Merchants!$A$2:$D$41,3,FALSE),"Merchant not found")</f>
        <v>grocery</v>
      </c>
      <c r="K175" t="str">
        <f>IFERROR(VLOOKUP($C175,Merchants!$A$2:$D$41,4,FALSE),"Merchant not found")</f>
        <v>North</v>
      </c>
      <c r="L175" s="3">
        <f>IFERROR(HLOOKUP(F175,Fee_Lookup!$B$1:$E$2,2,FALSE),"Method not found")</f>
        <v>5.0000000000000001E-3</v>
      </c>
      <c r="M175" s="6">
        <f t="shared" si="4"/>
        <v>1.4950000000000001</v>
      </c>
      <c r="N175" s="8">
        <f t="shared" si="5"/>
        <v>46042</v>
      </c>
    </row>
    <row r="176" spans="1:14" x14ac:dyDescent="0.4">
      <c r="A176" t="s">
        <v>243</v>
      </c>
      <c r="B176">
        <v>186</v>
      </c>
      <c r="C176">
        <v>7</v>
      </c>
      <c r="D176" s="2">
        <v>46037.59375</v>
      </c>
      <c r="E176">
        <v>1499</v>
      </c>
      <c r="F176" t="s">
        <v>78</v>
      </c>
      <c r="G176" t="s">
        <v>79</v>
      </c>
      <c r="H176">
        <v>87</v>
      </c>
      <c r="I176" t="str">
        <f>IFERROR(VLOOKUP($C176,Merchants!$A$2:$D$41,2,FALSE),"Merchant not found")</f>
        <v>Merchant_007</v>
      </c>
      <c r="J176" t="str">
        <f>IFERROR(VLOOKUP($C176,Merchants!$A$2:$D$41,3,FALSE),"Merchant not found")</f>
        <v>food_delivery</v>
      </c>
      <c r="K176" t="str">
        <f>IFERROR(VLOOKUP($C176,Merchants!$A$2:$D$41,4,FALSE),"Merchant not found")</f>
        <v>East</v>
      </c>
      <c r="L176" s="3">
        <f>IFERROR(HLOOKUP(F176,Fee_Lookup!$B$1:$E$2,2,FALSE),"Method not found")</f>
        <v>1.2E-2</v>
      </c>
      <c r="M176" s="6">
        <f t="shared" si="4"/>
        <v>17.988</v>
      </c>
      <c r="N176" s="8">
        <f t="shared" si="5"/>
        <v>46037</v>
      </c>
    </row>
    <row r="177" spans="1:14" x14ac:dyDescent="0.4">
      <c r="A177" t="s">
        <v>244</v>
      </c>
      <c r="B177">
        <v>331</v>
      </c>
      <c r="C177">
        <v>23</v>
      </c>
      <c r="D177" s="2">
        <v>46034.747916666667</v>
      </c>
      <c r="E177">
        <v>149</v>
      </c>
      <c r="F177" t="s">
        <v>66</v>
      </c>
      <c r="G177" t="s">
        <v>64</v>
      </c>
      <c r="H177">
        <v>7</v>
      </c>
      <c r="I177" t="str">
        <f>IFERROR(VLOOKUP($C177,Merchants!$A$2:$D$41,2,FALSE),"Merchant not found")</f>
        <v>Merchant_023</v>
      </c>
      <c r="J177" t="str">
        <f>IFERROR(VLOOKUP($C177,Merchants!$A$2:$D$41,3,FALSE),"Merchant not found")</f>
        <v>travel</v>
      </c>
      <c r="K177" t="str">
        <f>IFERROR(VLOOKUP($C177,Merchants!$A$2:$D$41,4,FALSE),"Merchant not found")</f>
        <v>North</v>
      </c>
      <c r="L177" s="3">
        <f>IFERROR(HLOOKUP(F177,Fee_Lookup!$B$1:$E$2,2,FALSE),"Method not found")</f>
        <v>5.0000000000000001E-3</v>
      </c>
      <c r="M177" s="6">
        <f t="shared" si="4"/>
        <v>0.745</v>
      </c>
      <c r="N177" s="8">
        <f t="shared" si="5"/>
        <v>46034</v>
      </c>
    </row>
    <row r="178" spans="1:14" x14ac:dyDescent="0.4">
      <c r="A178" t="s">
        <v>245</v>
      </c>
      <c r="B178">
        <v>63</v>
      </c>
      <c r="C178">
        <v>30</v>
      </c>
      <c r="D178" s="2">
        <v>46035.341666666667</v>
      </c>
      <c r="E178">
        <v>1499</v>
      </c>
      <c r="F178" t="s">
        <v>78</v>
      </c>
      <c r="G178" t="s">
        <v>64</v>
      </c>
      <c r="H178">
        <v>11</v>
      </c>
      <c r="I178" t="str">
        <f>IFERROR(VLOOKUP($C178,Merchants!$A$2:$D$41,2,FALSE),"Merchant not found")</f>
        <v>Merchant_030</v>
      </c>
      <c r="J178" t="str">
        <f>IFERROR(VLOOKUP($C178,Merchants!$A$2:$D$41,3,FALSE),"Merchant not found")</f>
        <v>travel</v>
      </c>
      <c r="K178" t="str">
        <f>IFERROR(VLOOKUP($C178,Merchants!$A$2:$D$41,4,FALSE),"Merchant not found")</f>
        <v>West</v>
      </c>
      <c r="L178" s="3">
        <f>IFERROR(HLOOKUP(F178,Fee_Lookup!$B$1:$E$2,2,FALSE),"Method not found")</f>
        <v>1.2E-2</v>
      </c>
      <c r="M178" s="6">
        <f t="shared" si="4"/>
        <v>17.988</v>
      </c>
      <c r="N178" s="8">
        <f t="shared" si="5"/>
        <v>46035</v>
      </c>
    </row>
    <row r="179" spans="1:14" x14ac:dyDescent="0.4">
      <c r="A179" t="s">
        <v>246</v>
      </c>
      <c r="B179">
        <v>328</v>
      </c>
      <c r="C179">
        <v>39</v>
      </c>
      <c r="D179" s="2">
        <v>46044.27847222222</v>
      </c>
      <c r="E179">
        <v>4999</v>
      </c>
      <c r="F179" t="s">
        <v>63</v>
      </c>
      <c r="G179" t="s">
        <v>92</v>
      </c>
      <c r="H179">
        <v>2</v>
      </c>
      <c r="I179" t="str">
        <f>IFERROR(VLOOKUP($C179,Merchants!$A$2:$D$41,2,FALSE),"Merchant not found")</f>
        <v>Merchant_039</v>
      </c>
      <c r="J179" t="str">
        <f>IFERROR(VLOOKUP($C179,Merchants!$A$2:$D$41,3,FALSE),"Merchant not found")</f>
        <v>entertainment</v>
      </c>
      <c r="K179" t="str">
        <f>IFERROR(VLOOKUP($C179,Merchants!$A$2:$D$41,4,FALSE),"Merchant not found")</f>
        <v>North</v>
      </c>
      <c r="L179" s="3">
        <f>IFERROR(HLOOKUP(F179,Fee_Lookup!$B$1:$E$2,2,FALSE),"Method not found")</f>
        <v>7.4999999999999997E-3</v>
      </c>
      <c r="M179" s="6">
        <f t="shared" si="4"/>
        <v>37.4925</v>
      </c>
      <c r="N179" s="8">
        <f t="shared" si="5"/>
        <v>46044</v>
      </c>
    </row>
    <row r="180" spans="1:14" x14ac:dyDescent="0.4">
      <c r="A180" t="s">
        <v>247</v>
      </c>
      <c r="B180">
        <v>65</v>
      </c>
      <c r="C180">
        <v>37</v>
      </c>
      <c r="D180" s="2">
        <v>46024.427083333336</v>
      </c>
      <c r="E180">
        <v>2999</v>
      </c>
      <c r="F180" t="s">
        <v>78</v>
      </c>
      <c r="G180" t="s">
        <v>64</v>
      </c>
      <c r="H180">
        <v>26</v>
      </c>
      <c r="I180" t="str">
        <f>IFERROR(VLOOKUP($C180,Merchants!$A$2:$D$41,2,FALSE),"Merchant not found")</f>
        <v>Merchant_037</v>
      </c>
      <c r="J180" t="str">
        <f>IFERROR(VLOOKUP($C180,Merchants!$A$2:$D$41,3,FALSE),"Merchant not found")</f>
        <v>entertainment</v>
      </c>
      <c r="K180" t="str">
        <f>IFERROR(VLOOKUP($C180,Merchants!$A$2:$D$41,4,FALSE),"Merchant not found")</f>
        <v>South</v>
      </c>
      <c r="L180" s="3">
        <f>IFERROR(HLOOKUP(F180,Fee_Lookup!$B$1:$E$2,2,FALSE),"Method not found")</f>
        <v>1.2E-2</v>
      </c>
      <c r="M180" s="6">
        <f t="shared" si="4"/>
        <v>35.988</v>
      </c>
      <c r="N180" s="8">
        <f t="shared" si="5"/>
        <v>46024</v>
      </c>
    </row>
    <row r="181" spans="1:14" x14ac:dyDescent="0.4">
      <c r="A181" t="s">
        <v>248</v>
      </c>
      <c r="B181">
        <v>301</v>
      </c>
      <c r="C181">
        <v>14</v>
      </c>
      <c r="D181" s="2">
        <v>46025.717361111114</v>
      </c>
      <c r="E181">
        <v>149</v>
      </c>
      <c r="F181" t="s">
        <v>66</v>
      </c>
      <c r="G181" t="s">
        <v>64</v>
      </c>
      <c r="H181">
        <v>29</v>
      </c>
      <c r="I181" t="str">
        <f>IFERROR(VLOOKUP($C181,Merchants!$A$2:$D$41,2,FALSE),"Merchant not found")</f>
        <v>Merchant_014</v>
      </c>
      <c r="J181" t="str">
        <f>IFERROR(VLOOKUP($C181,Merchants!$A$2:$D$41,3,FALSE),"Merchant not found")</f>
        <v>grocery</v>
      </c>
      <c r="K181" t="str">
        <f>IFERROR(VLOOKUP($C181,Merchants!$A$2:$D$41,4,FALSE),"Merchant not found")</f>
        <v>East</v>
      </c>
      <c r="L181" s="3">
        <f>IFERROR(HLOOKUP(F181,Fee_Lookup!$B$1:$E$2,2,FALSE),"Method not found")</f>
        <v>5.0000000000000001E-3</v>
      </c>
      <c r="M181" s="6">
        <f t="shared" si="4"/>
        <v>0.745</v>
      </c>
      <c r="N181" s="8">
        <f t="shared" si="5"/>
        <v>46025</v>
      </c>
    </row>
    <row r="182" spans="1:14" x14ac:dyDescent="0.4">
      <c r="A182" t="s">
        <v>249</v>
      </c>
      <c r="B182">
        <v>306</v>
      </c>
      <c r="C182">
        <v>1</v>
      </c>
      <c r="D182" s="2">
        <v>46033.201388888891</v>
      </c>
      <c r="E182">
        <v>299</v>
      </c>
      <c r="F182" t="s">
        <v>66</v>
      </c>
      <c r="G182" t="s">
        <v>79</v>
      </c>
      <c r="H182">
        <v>35</v>
      </c>
      <c r="I182" t="str">
        <f>IFERROR(VLOOKUP($C182,Merchants!$A$2:$D$41,2,FALSE),"Merchant not found")</f>
        <v>Merchant_001</v>
      </c>
      <c r="J182" t="str">
        <f>IFERROR(VLOOKUP($C182,Merchants!$A$2:$D$41,3,FALSE),"Merchant not found")</f>
        <v>ecommerce</v>
      </c>
      <c r="K182" t="str">
        <f>IFERROR(VLOOKUP($C182,Merchants!$A$2:$D$41,4,FALSE),"Merchant not found")</f>
        <v>South</v>
      </c>
      <c r="L182" s="3">
        <f>IFERROR(HLOOKUP(F182,Fee_Lookup!$B$1:$E$2,2,FALSE),"Method not found")</f>
        <v>5.0000000000000001E-3</v>
      </c>
      <c r="M182" s="6">
        <f t="shared" si="4"/>
        <v>1.4950000000000001</v>
      </c>
      <c r="N182" s="8">
        <f t="shared" si="5"/>
        <v>46033</v>
      </c>
    </row>
    <row r="183" spans="1:14" x14ac:dyDescent="0.4">
      <c r="A183" t="s">
        <v>250</v>
      </c>
      <c r="B183">
        <v>277</v>
      </c>
      <c r="C183">
        <v>17</v>
      </c>
      <c r="D183" s="2">
        <v>46050.172222222223</v>
      </c>
      <c r="E183">
        <v>299</v>
      </c>
      <c r="F183" t="s">
        <v>66</v>
      </c>
      <c r="G183" t="s">
        <v>64</v>
      </c>
      <c r="H183">
        <v>22</v>
      </c>
      <c r="I183" t="str">
        <f>IFERROR(VLOOKUP($C183,Merchants!$A$2:$D$41,2,FALSE),"Merchant not found")</f>
        <v>Merchant_017</v>
      </c>
      <c r="J183" t="str">
        <f>IFERROR(VLOOKUP($C183,Merchants!$A$2:$D$41,3,FALSE),"Merchant not found")</f>
        <v>grocery</v>
      </c>
      <c r="K183" t="str">
        <f>IFERROR(VLOOKUP($C183,Merchants!$A$2:$D$41,4,FALSE),"Merchant not found")</f>
        <v>North</v>
      </c>
      <c r="L183" s="3">
        <f>IFERROR(HLOOKUP(F183,Fee_Lookup!$B$1:$E$2,2,FALSE),"Method not found")</f>
        <v>5.0000000000000001E-3</v>
      </c>
      <c r="M183" s="6">
        <f t="shared" si="4"/>
        <v>1.4950000000000001</v>
      </c>
      <c r="N183" s="8">
        <f t="shared" si="5"/>
        <v>46050</v>
      </c>
    </row>
    <row r="184" spans="1:14" x14ac:dyDescent="0.4">
      <c r="A184" t="s">
        <v>251</v>
      </c>
      <c r="B184">
        <v>14</v>
      </c>
      <c r="C184">
        <v>9</v>
      </c>
      <c r="D184" s="2">
        <v>46026.913194444445</v>
      </c>
      <c r="E184">
        <v>499</v>
      </c>
      <c r="F184" t="s">
        <v>66</v>
      </c>
      <c r="G184" t="s">
        <v>64</v>
      </c>
      <c r="H184">
        <v>1</v>
      </c>
      <c r="I184" t="str">
        <f>IFERROR(VLOOKUP($C184,Merchants!$A$2:$D$41,2,FALSE),"Merchant not found")</f>
        <v>Merchant_009</v>
      </c>
      <c r="J184" t="str">
        <f>IFERROR(VLOOKUP($C184,Merchants!$A$2:$D$41,3,FALSE),"Merchant not found")</f>
        <v>ecommerce</v>
      </c>
      <c r="K184" t="str">
        <f>IFERROR(VLOOKUP($C184,Merchants!$A$2:$D$41,4,FALSE),"Merchant not found")</f>
        <v>North</v>
      </c>
      <c r="L184" s="3">
        <f>IFERROR(HLOOKUP(F184,Fee_Lookup!$B$1:$E$2,2,FALSE),"Method not found")</f>
        <v>5.0000000000000001E-3</v>
      </c>
      <c r="M184" s="6">
        <f t="shared" si="4"/>
        <v>2.4950000000000001</v>
      </c>
      <c r="N184" s="8">
        <f t="shared" si="5"/>
        <v>46026</v>
      </c>
    </row>
    <row r="185" spans="1:14" x14ac:dyDescent="0.4">
      <c r="A185" t="s">
        <v>252</v>
      </c>
      <c r="B185">
        <v>166</v>
      </c>
      <c r="C185">
        <v>2</v>
      </c>
      <c r="D185" s="2">
        <v>46034.317361111112</v>
      </c>
      <c r="E185">
        <v>299</v>
      </c>
      <c r="F185" t="s">
        <v>78</v>
      </c>
      <c r="G185" t="s">
        <v>64</v>
      </c>
      <c r="H185">
        <v>22</v>
      </c>
      <c r="I185" t="str">
        <f>IFERROR(VLOOKUP($C185,Merchants!$A$2:$D$41,2,FALSE),"Merchant not found")</f>
        <v>Merchant_002</v>
      </c>
      <c r="J185" t="str">
        <f>IFERROR(VLOOKUP($C185,Merchants!$A$2:$D$41,3,FALSE),"Merchant not found")</f>
        <v>grocery</v>
      </c>
      <c r="K185" t="str">
        <f>IFERROR(VLOOKUP($C185,Merchants!$A$2:$D$41,4,FALSE),"Merchant not found")</f>
        <v>West</v>
      </c>
      <c r="L185" s="3">
        <f>IFERROR(HLOOKUP(F185,Fee_Lookup!$B$1:$E$2,2,FALSE),"Method not found")</f>
        <v>1.2E-2</v>
      </c>
      <c r="M185" s="6">
        <f t="shared" si="4"/>
        <v>3.5880000000000001</v>
      </c>
      <c r="N185" s="8">
        <f t="shared" si="5"/>
        <v>46034</v>
      </c>
    </row>
    <row r="186" spans="1:14" x14ac:dyDescent="0.4">
      <c r="A186" t="s">
        <v>253</v>
      </c>
      <c r="B186">
        <v>216</v>
      </c>
      <c r="C186">
        <v>34</v>
      </c>
      <c r="D186" s="2">
        <v>46031.047222222223</v>
      </c>
      <c r="E186">
        <v>299</v>
      </c>
      <c r="F186" t="s">
        <v>78</v>
      </c>
      <c r="G186" t="s">
        <v>64</v>
      </c>
      <c r="H186">
        <v>14</v>
      </c>
      <c r="I186" t="str">
        <f>IFERROR(VLOOKUP($C186,Merchants!$A$2:$D$41,2,FALSE),"Merchant not found")</f>
        <v>Merchant_034</v>
      </c>
      <c r="J186" t="str">
        <f>IFERROR(VLOOKUP($C186,Merchants!$A$2:$D$41,3,FALSE),"Merchant not found")</f>
        <v>travel</v>
      </c>
      <c r="K186" t="str">
        <f>IFERROR(VLOOKUP($C186,Merchants!$A$2:$D$41,4,FALSE),"Merchant not found")</f>
        <v>South</v>
      </c>
      <c r="L186" s="3">
        <f>IFERROR(HLOOKUP(F186,Fee_Lookup!$B$1:$E$2,2,FALSE),"Method not found")</f>
        <v>1.2E-2</v>
      </c>
      <c r="M186" s="6">
        <f t="shared" si="4"/>
        <v>3.5880000000000001</v>
      </c>
      <c r="N186" s="8">
        <f t="shared" si="5"/>
        <v>46031</v>
      </c>
    </row>
    <row r="187" spans="1:14" x14ac:dyDescent="0.4">
      <c r="A187" t="s">
        <v>254</v>
      </c>
      <c r="B187">
        <v>230</v>
      </c>
      <c r="C187">
        <v>24</v>
      </c>
      <c r="D187" s="2">
        <v>46046.104166666664</v>
      </c>
      <c r="E187">
        <v>49</v>
      </c>
      <c r="F187" t="s">
        <v>66</v>
      </c>
      <c r="G187" t="s">
        <v>64</v>
      </c>
      <c r="H187">
        <v>65</v>
      </c>
      <c r="I187" t="str">
        <f>IFERROR(VLOOKUP($C187,Merchants!$A$2:$D$41,2,FALSE),"Merchant not found")</f>
        <v>Merchant_024</v>
      </c>
      <c r="J187" t="str">
        <f>IFERROR(VLOOKUP($C187,Merchants!$A$2:$D$41,3,FALSE),"Merchant not found")</f>
        <v>grocery</v>
      </c>
      <c r="K187" t="str">
        <f>IFERROR(VLOOKUP($C187,Merchants!$A$2:$D$41,4,FALSE),"Merchant not found")</f>
        <v>North</v>
      </c>
      <c r="L187" s="3">
        <f>IFERROR(HLOOKUP(F187,Fee_Lookup!$B$1:$E$2,2,FALSE),"Method not found")</f>
        <v>5.0000000000000001E-3</v>
      </c>
      <c r="M187" s="6">
        <f t="shared" si="4"/>
        <v>0.245</v>
      </c>
      <c r="N187" s="8">
        <f t="shared" si="5"/>
        <v>46046</v>
      </c>
    </row>
    <row r="188" spans="1:14" x14ac:dyDescent="0.4">
      <c r="A188" t="s">
        <v>255</v>
      </c>
      <c r="B188">
        <v>258</v>
      </c>
      <c r="C188">
        <v>15</v>
      </c>
      <c r="D188" s="2">
        <v>46041.144444444442</v>
      </c>
      <c r="E188">
        <v>499</v>
      </c>
      <c r="F188" t="s">
        <v>63</v>
      </c>
      <c r="G188" t="s">
        <v>64</v>
      </c>
      <c r="H188">
        <v>78</v>
      </c>
      <c r="I188" t="str">
        <f>IFERROR(VLOOKUP($C188,Merchants!$A$2:$D$41,2,FALSE),"Merchant not found")</f>
        <v>Merchant_015</v>
      </c>
      <c r="J188" t="str">
        <f>IFERROR(VLOOKUP($C188,Merchants!$A$2:$D$41,3,FALSE),"Merchant not found")</f>
        <v>travel</v>
      </c>
      <c r="K188" t="str">
        <f>IFERROR(VLOOKUP($C188,Merchants!$A$2:$D$41,4,FALSE),"Merchant not found")</f>
        <v>North</v>
      </c>
      <c r="L188" s="3">
        <f>IFERROR(HLOOKUP(F188,Fee_Lookup!$B$1:$E$2,2,FALSE),"Method not found")</f>
        <v>7.4999999999999997E-3</v>
      </c>
      <c r="M188" s="6">
        <f t="shared" si="4"/>
        <v>3.7424999999999997</v>
      </c>
      <c r="N188" s="8">
        <f t="shared" si="5"/>
        <v>46041</v>
      </c>
    </row>
    <row r="189" spans="1:14" x14ac:dyDescent="0.4">
      <c r="A189" t="s">
        <v>256</v>
      </c>
      <c r="B189">
        <v>338</v>
      </c>
      <c r="C189">
        <v>34</v>
      </c>
      <c r="D189" s="2">
        <v>46024.993055555555</v>
      </c>
      <c r="E189">
        <v>49</v>
      </c>
      <c r="F189" t="s">
        <v>66</v>
      </c>
      <c r="G189" t="s">
        <v>64</v>
      </c>
      <c r="H189">
        <v>38</v>
      </c>
      <c r="I189" t="str">
        <f>IFERROR(VLOOKUP($C189,Merchants!$A$2:$D$41,2,FALSE),"Merchant not found")</f>
        <v>Merchant_034</v>
      </c>
      <c r="J189" t="str">
        <f>IFERROR(VLOOKUP($C189,Merchants!$A$2:$D$41,3,FALSE),"Merchant not found")</f>
        <v>travel</v>
      </c>
      <c r="K189" t="str">
        <f>IFERROR(VLOOKUP($C189,Merchants!$A$2:$D$41,4,FALSE),"Merchant not found")</f>
        <v>South</v>
      </c>
      <c r="L189" s="3">
        <f>IFERROR(HLOOKUP(F189,Fee_Lookup!$B$1:$E$2,2,FALSE),"Method not found")</f>
        <v>5.0000000000000001E-3</v>
      </c>
      <c r="M189" s="6">
        <f t="shared" si="4"/>
        <v>0.245</v>
      </c>
      <c r="N189" s="8">
        <f t="shared" si="5"/>
        <v>46024</v>
      </c>
    </row>
    <row r="190" spans="1:14" x14ac:dyDescent="0.4">
      <c r="A190" t="s">
        <v>257</v>
      </c>
      <c r="B190">
        <v>32</v>
      </c>
      <c r="C190">
        <v>31</v>
      </c>
      <c r="D190" s="2">
        <v>46037.834027777775</v>
      </c>
      <c r="E190">
        <v>299</v>
      </c>
      <c r="F190" t="s">
        <v>66</v>
      </c>
      <c r="G190" t="s">
        <v>64</v>
      </c>
      <c r="H190">
        <v>51</v>
      </c>
      <c r="I190" t="str">
        <f>IFERROR(VLOOKUP($C190,Merchants!$A$2:$D$41,2,FALSE),"Merchant not found")</f>
        <v>Merchant_031</v>
      </c>
      <c r="J190" t="str">
        <f>IFERROR(VLOOKUP($C190,Merchants!$A$2:$D$41,3,FALSE),"Merchant not found")</f>
        <v>bill_payment</v>
      </c>
      <c r="K190" t="str">
        <f>IFERROR(VLOOKUP($C190,Merchants!$A$2:$D$41,4,FALSE),"Merchant not found")</f>
        <v>East</v>
      </c>
      <c r="L190" s="3">
        <f>IFERROR(HLOOKUP(F190,Fee_Lookup!$B$1:$E$2,2,FALSE),"Method not found")</f>
        <v>5.0000000000000001E-3</v>
      </c>
      <c r="M190" s="6">
        <f t="shared" si="4"/>
        <v>1.4950000000000001</v>
      </c>
      <c r="N190" s="8">
        <f t="shared" si="5"/>
        <v>46037</v>
      </c>
    </row>
    <row r="191" spans="1:14" x14ac:dyDescent="0.4">
      <c r="A191" t="s">
        <v>258</v>
      </c>
      <c r="B191">
        <v>252</v>
      </c>
      <c r="C191">
        <v>29</v>
      </c>
      <c r="D191" s="2">
        <v>46036.879166666666</v>
      </c>
      <c r="E191">
        <v>1499</v>
      </c>
      <c r="F191" t="s">
        <v>66</v>
      </c>
      <c r="G191" t="s">
        <v>64</v>
      </c>
      <c r="H191">
        <v>9</v>
      </c>
      <c r="I191" t="str">
        <f>IFERROR(VLOOKUP($C191,Merchants!$A$2:$D$41,2,FALSE),"Merchant not found")</f>
        <v>Merchant_029</v>
      </c>
      <c r="J191" t="str">
        <f>IFERROR(VLOOKUP($C191,Merchants!$A$2:$D$41,3,FALSE),"Merchant not found")</f>
        <v>ecommerce</v>
      </c>
      <c r="K191" t="str">
        <f>IFERROR(VLOOKUP($C191,Merchants!$A$2:$D$41,4,FALSE),"Merchant not found")</f>
        <v>North</v>
      </c>
      <c r="L191" s="3">
        <f>IFERROR(HLOOKUP(F191,Fee_Lookup!$B$1:$E$2,2,FALSE),"Method not found")</f>
        <v>5.0000000000000001E-3</v>
      </c>
      <c r="M191" s="6">
        <f t="shared" si="4"/>
        <v>7.4950000000000001</v>
      </c>
      <c r="N191" s="8">
        <f t="shared" si="5"/>
        <v>46036</v>
      </c>
    </row>
    <row r="192" spans="1:14" x14ac:dyDescent="0.4">
      <c r="A192" t="s">
        <v>259</v>
      </c>
      <c r="B192">
        <v>312</v>
      </c>
      <c r="C192">
        <v>10</v>
      </c>
      <c r="D192" s="2">
        <v>46051.097222222219</v>
      </c>
      <c r="E192">
        <v>799</v>
      </c>
      <c r="F192" t="s">
        <v>66</v>
      </c>
      <c r="G192" t="s">
        <v>64</v>
      </c>
      <c r="H192">
        <v>8</v>
      </c>
      <c r="I192" t="str">
        <f>IFERROR(VLOOKUP($C192,Merchants!$A$2:$D$41,2,FALSE),"Merchant not found")</f>
        <v>Merchant_010</v>
      </c>
      <c r="J192" t="str">
        <f>IFERROR(VLOOKUP($C192,Merchants!$A$2:$D$41,3,FALSE),"Merchant not found")</f>
        <v>grocery</v>
      </c>
      <c r="K192" t="str">
        <f>IFERROR(VLOOKUP($C192,Merchants!$A$2:$D$41,4,FALSE),"Merchant not found")</f>
        <v>West</v>
      </c>
      <c r="L192" s="3">
        <f>IFERROR(HLOOKUP(F192,Fee_Lookup!$B$1:$E$2,2,FALSE),"Method not found")</f>
        <v>5.0000000000000001E-3</v>
      </c>
      <c r="M192" s="6">
        <f t="shared" si="4"/>
        <v>3.9950000000000001</v>
      </c>
      <c r="N192" s="8">
        <f t="shared" si="5"/>
        <v>46051</v>
      </c>
    </row>
    <row r="193" spans="1:14" x14ac:dyDescent="0.4">
      <c r="A193" t="s">
        <v>260</v>
      </c>
      <c r="B193">
        <v>325</v>
      </c>
      <c r="C193">
        <v>38</v>
      </c>
      <c r="D193" s="2">
        <v>46027.36041666667</v>
      </c>
      <c r="E193">
        <v>1499</v>
      </c>
      <c r="F193" t="s">
        <v>69</v>
      </c>
      <c r="G193" t="s">
        <v>64</v>
      </c>
      <c r="H193">
        <v>70</v>
      </c>
      <c r="I193" t="str">
        <f>IFERROR(VLOOKUP($C193,Merchants!$A$2:$D$41,2,FALSE),"Merchant not found")</f>
        <v>Merchant_038</v>
      </c>
      <c r="J193" t="str">
        <f>IFERROR(VLOOKUP($C193,Merchants!$A$2:$D$41,3,FALSE),"Merchant not found")</f>
        <v>grocery</v>
      </c>
      <c r="K193" t="str">
        <f>IFERROR(VLOOKUP($C193,Merchants!$A$2:$D$41,4,FALSE),"Merchant not found")</f>
        <v>East</v>
      </c>
      <c r="L193" s="3">
        <f>IFERROR(HLOOKUP(F193,Fee_Lookup!$B$1:$E$2,2,FALSE),"Method not found")</f>
        <v>0.01</v>
      </c>
      <c r="M193" s="6">
        <f t="shared" si="4"/>
        <v>14.99</v>
      </c>
      <c r="N193" s="8">
        <f t="shared" si="5"/>
        <v>46027</v>
      </c>
    </row>
    <row r="194" spans="1:14" x14ac:dyDescent="0.4">
      <c r="A194" t="s">
        <v>261</v>
      </c>
      <c r="B194">
        <v>306</v>
      </c>
      <c r="C194">
        <v>34</v>
      </c>
      <c r="D194" s="2">
        <v>46045.433333333334</v>
      </c>
      <c r="E194">
        <v>2999</v>
      </c>
      <c r="F194" t="s">
        <v>66</v>
      </c>
      <c r="G194" t="s">
        <v>64</v>
      </c>
      <c r="H194">
        <v>37</v>
      </c>
      <c r="I194" t="str">
        <f>IFERROR(VLOOKUP($C194,Merchants!$A$2:$D$41,2,FALSE),"Merchant not found")</f>
        <v>Merchant_034</v>
      </c>
      <c r="J194" t="str">
        <f>IFERROR(VLOOKUP($C194,Merchants!$A$2:$D$41,3,FALSE),"Merchant not found")</f>
        <v>travel</v>
      </c>
      <c r="K194" t="str">
        <f>IFERROR(VLOOKUP($C194,Merchants!$A$2:$D$41,4,FALSE),"Merchant not found")</f>
        <v>South</v>
      </c>
      <c r="L194" s="3">
        <f>IFERROR(HLOOKUP(F194,Fee_Lookup!$B$1:$E$2,2,FALSE),"Method not found")</f>
        <v>5.0000000000000001E-3</v>
      </c>
      <c r="M194" s="6">
        <f t="shared" si="4"/>
        <v>14.995000000000001</v>
      </c>
      <c r="N194" s="8">
        <f t="shared" si="5"/>
        <v>46045</v>
      </c>
    </row>
    <row r="195" spans="1:14" x14ac:dyDescent="0.4">
      <c r="A195" t="s">
        <v>262</v>
      </c>
      <c r="B195">
        <v>221</v>
      </c>
      <c r="C195">
        <v>7</v>
      </c>
      <c r="D195" s="2">
        <v>46037.693055555559</v>
      </c>
      <c r="E195">
        <v>149</v>
      </c>
      <c r="F195" t="s">
        <v>69</v>
      </c>
      <c r="G195" t="s">
        <v>64</v>
      </c>
      <c r="H195">
        <v>89</v>
      </c>
      <c r="I195" t="str">
        <f>IFERROR(VLOOKUP($C195,Merchants!$A$2:$D$41,2,FALSE),"Merchant not found")</f>
        <v>Merchant_007</v>
      </c>
      <c r="J195" t="str">
        <f>IFERROR(VLOOKUP($C195,Merchants!$A$2:$D$41,3,FALSE),"Merchant not found")</f>
        <v>food_delivery</v>
      </c>
      <c r="K195" t="str">
        <f>IFERROR(VLOOKUP($C195,Merchants!$A$2:$D$41,4,FALSE),"Merchant not found")</f>
        <v>East</v>
      </c>
      <c r="L195" s="3">
        <f>IFERROR(HLOOKUP(F195,Fee_Lookup!$B$1:$E$2,2,FALSE),"Method not found")</f>
        <v>0.01</v>
      </c>
      <c r="M195" s="6">
        <f t="shared" ref="M195:M258" si="6">E195*L195</f>
        <v>1.49</v>
      </c>
      <c r="N195" s="8">
        <f t="shared" ref="N195:N258" si="7">INT(D195)</f>
        <v>46037</v>
      </c>
    </row>
    <row r="196" spans="1:14" x14ac:dyDescent="0.4">
      <c r="A196" t="s">
        <v>263</v>
      </c>
      <c r="B196">
        <v>283</v>
      </c>
      <c r="C196">
        <v>14</v>
      </c>
      <c r="D196" s="2">
        <v>46026.861805555556</v>
      </c>
      <c r="E196">
        <v>99</v>
      </c>
      <c r="F196" t="s">
        <v>63</v>
      </c>
      <c r="G196" t="s">
        <v>64</v>
      </c>
      <c r="H196">
        <v>55</v>
      </c>
      <c r="I196" t="str">
        <f>IFERROR(VLOOKUP($C196,Merchants!$A$2:$D$41,2,FALSE),"Merchant not found")</f>
        <v>Merchant_014</v>
      </c>
      <c r="J196" t="str">
        <f>IFERROR(VLOOKUP($C196,Merchants!$A$2:$D$41,3,FALSE),"Merchant not found")</f>
        <v>grocery</v>
      </c>
      <c r="K196" t="str">
        <f>IFERROR(VLOOKUP($C196,Merchants!$A$2:$D$41,4,FALSE),"Merchant not found")</f>
        <v>East</v>
      </c>
      <c r="L196" s="3">
        <f>IFERROR(HLOOKUP(F196,Fee_Lookup!$B$1:$E$2,2,FALSE),"Method not found")</f>
        <v>7.4999999999999997E-3</v>
      </c>
      <c r="M196" s="6">
        <f t="shared" si="6"/>
        <v>0.74249999999999994</v>
      </c>
      <c r="N196" s="8">
        <f t="shared" si="7"/>
        <v>46026</v>
      </c>
    </row>
    <row r="197" spans="1:14" x14ac:dyDescent="0.4">
      <c r="A197" t="s">
        <v>264</v>
      </c>
      <c r="B197">
        <v>174</v>
      </c>
      <c r="C197">
        <v>30</v>
      </c>
      <c r="D197" s="2">
        <v>46037.30972222222</v>
      </c>
      <c r="E197">
        <v>49</v>
      </c>
      <c r="F197" t="s">
        <v>66</v>
      </c>
      <c r="G197" t="s">
        <v>64</v>
      </c>
      <c r="H197">
        <v>51</v>
      </c>
      <c r="I197" t="str">
        <f>IFERROR(VLOOKUP($C197,Merchants!$A$2:$D$41,2,FALSE),"Merchant not found")</f>
        <v>Merchant_030</v>
      </c>
      <c r="J197" t="str">
        <f>IFERROR(VLOOKUP($C197,Merchants!$A$2:$D$41,3,FALSE),"Merchant not found")</f>
        <v>travel</v>
      </c>
      <c r="K197" t="str">
        <f>IFERROR(VLOOKUP($C197,Merchants!$A$2:$D$41,4,FALSE),"Merchant not found")</f>
        <v>West</v>
      </c>
      <c r="L197" s="3">
        <f>IFERROR(HLOOKUP(F197,Fee_Lookup!$B$1:$E$2,2,FALSE),"Method not found")</f>
        <v>5.0000000000000001E-3</v>
      </c>
      <c r="M197" s="6">
        <f t="shared" si="6"/>
        <v>0.245</v>
      </c>
      <c r="N197" s="8">
        <f t="shared" si="7"/>
        <v>46037</v>
      </c>
    </row>
    <row r="198" spans="1:14" x14ac:dyDescent="0.4">
      <c r="A198" t="s">
        <v>265</v>
      </c>
      <c r="B198">
        <v>161</v>
      </c>
      <c r="C198">
        <v>28</v>
      </c>
      <c r="D198" s="2">
        <v>46036.962500000001</v>
      </c>
      <c r="E198">
        <v>49</v>
      </c>
      <c r="F198" t="s">
        <v>66</v>
      </c>
      <c r="G198" t="s">
        <v>64</v>
      </c>
      <c r="H198">
        <v>40</v>
      </c>
      <c r="I198" t="str">
        <f>IFERROR(VLOOKUP($C198,Merchants!$A$2:$D$41,2,FALSE),"Merchant not found")</f>
        <v>Merchant_028</v>
      </c>
      <c r="J198" t="str">
        <f>IFERROR(VLOOKUP($C198,Merchants!$A$2:$D$41,3,FALSE),"Merchant not found")</f>
        <v>ecommerce</v>
      </c>
      <c r="K198" t="str">
        <f>IFERROR(VLOOKUP($C198,Merchants!$A$2:$D$41,4,FALSE),"Merchant not found")</f>
        <v>South</v>
      </c>
      <c r="L198" s="3">
        <f>IFERROR(HLOOKUP(F198,Fee_Lookup!$B$1:$E$2,2,FALSE),"Method not found")</f>
        <v>5.0000000000000001E-3</v>
      </c>
      <c r="M198" s="6">
        <f t="shared" si="6"/>
        <v>0.245</v>
      </c>
      <c r="N198" s="8">
        <f t="shared" si="7"/>
        <v>46036</v>
      </c>
    </row>
    <row r="199" spans="1:14" x14ac:dyDescent="0.4">
      <c r="A199" t="s">
        <v>266</v>
      </c>
      <c r="B199">
        <v>79</v>
      </c>
      <c r="C199">
        <v>31</v>
      </c>
      <c r="D199" s="2">
        <v>46044.349305555559</v>
      </c>
      <c r="E199">
        <v>99</v>
      </c>
      <c r="F199" t="s">
        <v>66</v>
      </c>
      <c r="G199" t="s">
        <v>64</v>
      </c>
      <c r="H199">
        <v>8</v>
      </c>
      <c r="I199" t="str">
        <f>IFERROR(VLOOKUP($C199,Merchants!$A$2:$D$41,2,FALSE),"Merchant not found")</f>
        <v>Merchant_031</v>
      </c>
      <c r="J199" t="str">
        <f>IFERROR(VLOOKUP($C199,Merchants!$A$2:$D$41,3,FALSE),"Merchant not found")</f>
        <v>bill_payment</v>
      </c>
      <c r="K199" t="str">
        <f>IFERROR(VLOOKUP($C199,Merchants!$A$2:$D$41,4,FALSE),"Merchant not found")</f>
        <v>East</v>
      </c>
      <c r="L199" s="3">
        <f>IFERROR(HLOOKUP(F199,Fee_Lookup!$B$1:$E$2,2,FALSE),"Method not found")</f>
        <v>5.0000000000000001E-3</v>
      </c>
      <c r="M199" s="6">
        <f t="shared" si="6"/>
        <v>0.495</v>
      </c>
      <c r="N199" s="8">
        <f t="shared" si="7"/>
        <v>46044</v>
      </c>
    </row>
    <row r="200" spans="1:14" x14ac:dyDescent="0.4">
      <c r="A200" t="s">
        <v>267</v>
      </c>
      <c r="B200">
        <v>222</v>
      </c>
      <c r="C200">
        <v>7</v>
      </c>
      <c r="D200" s="2">
        <v>46025.086805555555</v>
      </c>
      <c r="E200">
        <v>149</v>
      </c>
      <c r="F200" t="s">
        <v>63</v>
      </c>
      <c r="G200" t="s">
        <v>64</v>
      </c>
      <c r="H200">
        <v>95</v>
      </c>
      <c r="I200" t="str">
        <f>IFERROR(VLOOKUP($C200,Merchants!$A$2:$D$41,2,FALSE),"Merchant not found")</f>
        <v>Merchant_007</v>
      </c>
      <c r="J200" t="str">
        <f>IFERROR(VLOOKUP($C200,Merchants!$A$2:$D$41,3,FALSE),"Merchant not found")</f>
        <v>food_delivery</v>
      </c>
      <c r="K200" t="str">
        <f>IFERROR(VLOOKUP($C200,Merchants!$A$2:$D$41,4,FALSE),"Merchant not found")</f>
        <v>East</v>
      </c>
      <c r="L200" s="3">
        <f>IFERROR(HLOOKUP(F200,Fee_Lookup!$B$1:$E$2,2,FALSE),"Method not found")</f>
        <v>7.4999999999999997E-3</v>
      </c>
      <c r="M200" s="6">
        <f t="shared" si="6"/>
        <v>1.1174999999999999</v>
      </c>
      <c r="N200" s="8">
        <f t="shared" si="7"/>
        <v>46025</v>
      </c>
    </row>
    <row r="201" spans="1:14" x14ac:dyDescent="0.4">
      <c r="A201" t="s">
        <v>268</v>
      </c>
      <c r="B201">
        <v>67</v>
      </c>
      <c r="C201">
        <v>36</v>
      </c>
      <c r="D201" s="2">
        <v>46046.493750000001</v>
      </c>
      <c r="E201">
        <v>99</v>
      </c>
      <c r="F201" t="s">
        <v>66</v>
      </c>
      <c r="G201" t="s">
        <v>64</v>
      </c>
      <c r="H201">
        <v>7</v>
      </c>
      <c r="I201" t="str">
        <f>IFERROR(VLOOKUP($C201,Merchants!$A$2:$D$41,2,FALSE),"Merchant not found")</f>
        <v>Merchant_036</v>
      </c>
      <c r="J201" t="str">
        <f>IFERROR(VLOOKUP($C201,Merchants!$A$2:$D$41,3,FALSE),"Merchant not found")</f>
        <v>entertainment</v>
      </c>
      <c r="K201" t="str">
        <f>IFERROR(VLOOKUP($C201,Merchants!$A$2:$D$41,4,FALSE),"Merchant not found")</f>
        <v>East</v>
      </c>
      <c r="L201" s="3">
        <f>IFERROR(HLOOKUP(F201,Fee_Lookup!$B$1:$E$2,2,FALSE),"Method not found")</f>
        <v>5.0000000000000001E-3</v>
      </c>
      <c r="M201" s="6">
        <f t="shared" si="6"/>
        <v>0.495</v>
      </c>
      <c r="N201" s="8">
        <f t="shared" si="7"/>
        <v>46046</v>
      </c>
    </row>
    <row r="202" spans="1:14" x14ac:dyDescent="0.4">
      <c r="A202" t="s">
        <v>269</v>
      </c>
      <c r="B202">
        <v>169</v>
      </c>
      <c r="C202">
        <v>8</v>
      </c>
      <c r="D202" s="2">
        <v>46041.732638888891</v>
      </c>
      <c r="E202">
        <v>99</v>
      </c>
      <c r="F202" t="s">
        <v>66</v>
      </c>
      <c r="G202" t="s">
        <v>64</v>
      </c>
      <c r="H202">
        <v>52</v>
      </c>
      <c r="I202" t="str">
        <f>IFERROR(VLOOKUP($C202,Merchants!$A$2:$D$41,2,FALSE),"Merchant not found")</f>
        <v>Merchant_008</v>
      </c>
      <c r="J202" t="str">
        <f>IFERROR(VLOOKUP($C202,Merchants!$A$2:$D$41,3,FALSE),"Merchant not found")</f>
        <v>food_delivery</v>
      </c>
      <c r="K202" t="str">
        <f>IFERROR(VLOOKUP($C202,Merchants!$A$2:$D$41,4,FALSE),"Merchant not found")</f>
        <v>North</v>
      </c>
      <c r="L202" s="3">
        <f>IFERROR(HLOOKUP(F202,Fee_Lookup!$B$1:$E$2,2,FALSE),"Method not found")</f>
        <v>5.0000000000000001E-3</v>
      </c>
      <c r="M202" s="6">
        <f t="shared" si="6"/>
        <v>0.495</v>
      </c>
      <c r="N202" s="8">
        <f t="shared" si="7"/>
        <v>46041</v>
      </c>
    </row>
    <row r="203" spans="1:14" x14ac:dyDescent="0.4">
      <c r="A203" t="s">
        <v>270</v>
      </c>
      <c r="B203">
        <v>217</v>
      </c>
      <c r="C203">
        <v>4</v>
      </c>
      <c r="D203" s="2">
        <v>46034.908333333333</v>
      </c>
      <c r="E203">
        <v>49</v>
      </c>
      <c r="F203" t="s">
        <v>66</v>
      </c>
      <c r="G203" t="s">
        <v>64</v>
      </c>
      <c r="H203">
        <v>36</v>
      </c>
      <c r="I203" t="str">
        <f>IFERROR(VLOOKUP($C203,Merchants!$A$2:$D$41,2,FALSE),"Merchant not found")</f>
        <v>Merchant_004</v>
      </c>
      <c r="J203" t="str">
        <f>IFERROR(VLOOKUP($C203,Merchants!$A$2:$D$41,3,FALSE),"Merchant not found")</f>
        <v>ecommerce</v>
      </c>
      <c r="K203" t="str">
        <f>IFERROR(VLOOKUP($C203,Merchants!$A$2:$D$41,4,FALSE),"Merchant not found")</f>
        <v>East</v>
      </c>
      <c r="L203" s="3">
        <f>IFERROR(HLOOKUP(F203,Fee_Lookup!$B$1:$E$2,2,FALSE),"Method not found")</f>
        <v>5.0000000000000001E-3</v>
      </c>
      <c r="M203" s="6">
        <f t="shared" si="6"/>
        <v>0.245</v>
      </c>
      <c r="N203" s="8">
        <f t="shared" si="7"/>
        <v>46034</v>
      </c>
    </row>
    <row r="204" spans="1:14" x14ac:dyDescent="0.4">
      <c r="A204" t="s">
        <v>271</v>
      </c>
      <c r="B204">
        <v>54</v>
      </c>
      <c r="C204">
        <v>37</v>
      </c>
      <c r="D204" s="2">
        <v>46042.390277777777</v>
      </c>
      <c r="E204">
        <v>149</v>
      </c>
      <c r="F204" t="s">
        <v>66</v>
      </c>
      <c r="G204" t="s">
        <v>64</v>
      </c>
      <c r="H204">
        <v>64</v>
      </c>
      <c r="I204" t="str">
        <f>IFERROR(VLOOKUP($C204,Merchants!$A$2:$D$41,2,FALSE),"Merchant not found")</f>
        <v>Merchant_037</v>
      </c>
      <c r="J204" t="str">
        <f>IFERROR(VLOOKUP($C204,Merchants!$A$2:$D$41,3,FALSE),"Merchant not found")</f>
        <v>entertainment</v>
      </c>
      <c r="K204" t="str">
        <f>IFERROR(VLOOKUP($C204,Merchants!$A$2:$D$41,4,FALSE),"Merchant not found")</f>
        <v>South</v>
      </c>
      <c r="L204" s="3">
        <f>IFERROR(HLOOKUP(F204,Fee_Lookup!$B$1:$E$2,2,FALSE),"Method not found")</f>
        <v>5.0000000000000001E-3</v>
      </c>
      <c r="M204" s="6">
        <f t="shared" si="6"/>
        <v>0.745</v>
      </c>
      <c r="N204" s="8">
        <f t="shared" si="7"/>
        <v>46042</v>
      </c>
    </row>
    <row r="205" spans="1:14" x14ac:dyDescent="0.4">
      <c r="A205" t="s">
        <v>272</v>
      </c>
      <c r="B205">
        <v>247</v>
      </c>
      <c r="C205">
        <v>15</v>
      </c>
      <c r="D205" s="2">
        <v>46029.195833333331</v>
      </c>
      <c r="E205">
        <v>49</v>
      </c>
      <c r="F205" t="s">
        <v>78</v>
      </c>
      <c r="G205" t="s">
        <v>64</v>
      </c>
      <c r="H205">
        <v>13</v>
      </c>
      <c r="I205" t="str">
        <f>IFERROR(VLOOKUP($C205,Merchants!$A$2:$D$41,2,FALSE),"Merchant not found")</f>
        <v>Merchant_015</v>
      </c>
      <c r="J205" t="str">
        <f>IFERROR(VLOOKUP($C205,Merchants!$A$2:$D$41,3,FALSE),"Merchant not found")</f>
        <v>travel</v>
      </c>
      <c r="K205" t="str">
        <f>IFERROR(VLOOKUP($C205,Merchants!$A$2:$D$41,4,FALSE),"Merchant not found")</f>
        <v>North</v>
      </c>
      <c r="L205" s="3">
        <f>IFERROR(HLOOKUP(F205,Fee_Lookup!$B$1:$E$2,2,FALSE),"Method not found")</f>
        <v>1.2E-2</v>
      </c>
      <c r="M205" s="6">
        <f t="shared" si="6"/>
        <v>0.58799999999999997</v>
      </c>
      <c r="N205" s="8">
        <f t="shared" si="7"/>
        <v>46029</v>
      </c>
    </row>
    <row r="206" spans="1:14" x14ac:dyDescent="0.4">
      <c r="A206" t="s">
        <v>273</v>
      </c>
      <c r="B206">
        <v>59</v>
      </c>
      <c r="C206">
        <v>18</v>
      </c>
      <c r="D206" s="2">
        <v>46034.724305555559</v>
      </c>
      <c r="E206">
        <v>49</v>
      </c>
      <c r="F206" t="s">
        <v>78</v>
      </c>
      <c r="G206" t="s">
        <v>64</v>
      </c>
      <c r="H206">
        <v>73</v>
      </c>
      <c r="I206" t="str">
        <f>IFERROR(VLOOKUP($C206,Merchants!$A$2:$D$41,2,FALSE),"Merchant not found")</f>
        <v>Merchant_018</v>
      </c>
      <c r="J206" t="str">
        <f>IFERROR(VLOOKUP($C206,Merchants!$A$2:$D$41,3,FALSE),"Merchant not found")</f>
        <v>grocery</v>
      </c>
      <c r="K206" t="str">
        <f>IFERROR(VLOOKUP($C206,Merchants!$A$2:$D$41,4,FALSE),"Merchant not found")</f>
        <v>West</v>
      </c>
      <c r="L206" s="3">
        <f>IFERROR(HLOOKUP(F206,Fee_Lookup!$B$1:$E$2,2,FALSE),"Method not found")</f>
        <v>1.2E-2</v>
      </c>
      <c r="M206" s="6">
        <f t="shared" si="6"/>
        <v>0.58799999999999997</v>
      </c>
      <c r="N206" s="8">
        <f t="shared" si="7"/>
        <v>46034</v>
      </c>
    </row>
    <row r="207" spans="1:14" x14ac:dyDescent="0.4">
      <c r="A207" t="s">
        <v>274</v>
      </c>
      <c r="B207">
        <v>288</v>
      </c>
      <c r="C207">
        <v>40</v>
      </c>
      <c r="D207" s="2">
        <v>46030.57916666667</v>
      </c>
      <c r="E207">
        <v>49</v>
      </c>
      <c r="F207" t="s">
        <v>66</v>
      </c>
      <c r="G207" t="s">
        <v>79</v>
      </c>
      <c r="H207">
        <v>78</v>
      </c>
      <c r="I207" t="str">
        <f>IFERROR(VLOOKUP($C207,Merchants!$A$2:$D$41,2,FALSE),"Merchant not found")</f>
        <v>Merchant_040</v>
      </c>
      <c r="J207" t="str">
        <f>IFERROR(VLOOKUP($C207,Merchants!$A$2:$D$41,3,FALSE),"Merchant not found")</f>
        <v>entertainment</v>
      </c>
      <c r="K207" t="str">
        <f>IFERROR(VLOOKUP($C207,Merchants!$A$2:$D$41,4,FALSE),"Merchant not found")</f>
        <v>South</v>
      </c>
      <c r="L207" s="3">
        <f>IFERROR(HLOOKUP(F207,Fee_Lookup!$B$1:$E$2,2,FALSE),"Method not found")</f>
        <v>5.0000000000000001E-3</v>
      </c>
      <c r="M207" s="6">
        <f t="shared" si="6"/>
        <v>0.245</v>
      </c>
      <c r="N207" s="8">
        <f t="shared" si="7"/>
        <v>46030</v>
      </c>
    </row>
    <row r="208" spans="1:14" x14ac:dyDescent="0.4">
      <c r="A208" t="s">
        <v>275</v>
      </c>
      <c r="B208">
        <v>14</v>
      </c>
      <c r="C208">
        <v>39</v>
      </c>
      <c r="D208" s="2">
        <v>46044.857638888891</v>
      </c>
      <c r="E208">
        <v>799</v>
      </c>
      <c r="F208" t="s">
        <v>66</v>
      </c>
      <c r="G208" t="s">
        <v>64</v>
      </c>
      <c r="H208">
        <v>84</v>
      </c>
      <c r="I208" t="str">
        <f>IFERROR(VLOOKUP($C208,Merchants!$A$2:$D$41,2,FALSE),"Merchant not found")</f>
        <v>Merchant_039</v>
      </c>
      <c r="J208" t="str">
        <f>IFERROR(VLOOKUP($C208,Merchants!$A$2:$D$41,3,FALSE),"Merchant not found")</f>
        <v>entertainment</v>
      </c>
      <c r="K208" t="str">
        <f>IFERROR(VLOOKUP($C208,Merchants!$A$2:$D$41,4,FALSE),"Merchant not found")</f>
        <v>North</v>
      </c>
      <c r="L208" s="3">
        <f>IFERROR(HLOOKUP(F208,Fee_Lookup!$B$1:$E$2,2,FALSE),"Method not found")</f>
        <v>5.0000000000000001E-3</v>
      </c>
      <c r="M208" s="6">
        <f t="shared" si="6"/>
        <v>3.9950000000000001</v>
      </c>
      <c r="N208" s="8">
        <f t="shared" si="7"/>
        <v>46044</v>
      </c>
    </row>
    <row r="209" spans="1:14" x14ac:dyDescent="0.4">
      <c r="A209" t="s">
        <v>276</v>
      </c>
      <c r="B209">
        <v>15</v>
      </c>
      <c r="C209">
        <v>12</v>
      </c>
      <c r="D209" s="2">
        <v>46049.928472222222</v>
      </c>
      <c r="E209">
        <v>149</v>
      </c>
      <c r="F209" t="s">
        <v>66</v>
      </c>
      <c r="G209" t="s">
        <v>64</v>
      </c>
      <c r="H209">
        <v>34</v>
      </c>
      <c r="I209" t="str">
        <f>IFERROR(VLOOKUP($C209,Merchants!$A$2:$D$41,2,FALSE),"Merchant not found")</f>
        <v>Merchant_012</v>
      </c>
      <c r="J209" t="str">
        <f>IFERROR(VLOOKUP($C209,Merchants!$A$2:$D$41,3,FALSE),"Merchant not found")</f>
        <v>ecommerce</v>
      </c>
      <c r="K209" t="str">
        <f>IFERROR(VLOOKUP($C209,Merchants!$A$2:$D$41,4,FALSE),"Merchant not found")</f>
        <v>East</v>
      </c>
      <c r="L209" s="3">
        <f>IFERROR(HLOOKUP(F209,Fee_Lookup!$B$1:$E$2,2,FALSE),"Method not found")</f>
        <v>5.0000000000000001E-3</v>
      </c>
      <c r="M209" s="6">
        <f t="shared" si="6"/>
        <v>0.745</v>
      </c>
      <c r="N209" s="8">
        <f t="shared" si="7"/>
        <v>46049</v>
      </c>
    </row>
    <row r="210" spans="1:14" x14ac:dyDescent="0.4">
      <c r="A210" t="s">
        <v>277</v>
      </c>
      <c r="B210">
        <v>174</v>
      </c>
      <c r="C210">
        <v>23</v>
      </c>
      <c r="D210" s="2">
        <v>46045.415277777778</v>
      </c>
      <c r="E210">
        <v>149</v>
      </c>
      <c r="F210" t="s">
        <v>66</v>
      </c>
      <c r="G210" t="s">
        <v>64</v>
      </c>
      <c r="H210">
        <v>0</v>
      </c>
      <c r="I210" t="str">
        <f>IFERROR(VLOOKUP($C210,Merchants!$A$2:$D$41,2,FALSE),"Merchant not found")</f>
        <v>Merchant_023</v>
      </c>
      <c r="J210" t="str">
        <f>IFERROR(VLOOKUP($C210,Merchants!$A$2:$D$41,3,FALSE),"Merchant not found")</f>
        <v>travel</v>
      </c>
      <c r="K210" t="str">
        <f>IFERROR(VLOOKUP($C210,Merchants!$A$2:$D$41,4,FALSE),"Merchant not found")</f>
        <v>North</v>
      </c>
      <c r="L210" s="3">
        <f>IFERROR(HLOOKUP(F210,Fee_Lookup!$B$1:$E$2,2,FALSE),"Method not found")</f>
        <v>5.0000000000000001E-3</v>
      </c>
      <c r="M210" s="6">
        <f t="shared" si="6"/>
        <v>0.745</v>
      </c>
      <c r="N210" s="8">
        <f t="shared" si="7"/>
        <v>46045</v>
      </c>
    </row>
    <row r="211" spans="1:14" x14ac:dyDescent="0.4">
      <c r="A211" t="s">
        <v>278</v>
      </c>
      <c r="B211">
        <v>337</v>
      </c>
      <c r="C211">
        <v>26</v>
      </c>
      <c r="D211" s="2">
        <v>46028.191666666666</v>
      </c>
      <c r="E211">
        <v>49</v>
      </c>
      <c r="F211" t="s">
        <v>66</v>
      </c>
      <c r="G211" t="s">
        <v>64</v>
      </c>
      <c r="H211">
        <v>8</v>
      </c>
      <c r="I211" t="str">
        <f>IFERROR(VLOOKUP($C211,Merchants!$A$2:$D$41,2,FALSE),"Merchant not found")</f>
        <v>Merchant_026</v>
      </c>
      <c r="J211" t="str">
        <f>IFERROR(VLOOKUP($C211,Merchants!$A$2:$D$41,3,FALSE),"Merchant not found")</f>
        <v>food_delivery</v>
      </c>
      <c r="K211" t="str">
        <f>IFERROR(VLOOKUP($C211,Merchants!$A$2:$D$41,4,FALSE),"Merchant not found")</f>
        <v>East</v>
      </c>
      <c r="L211" s="3">
        <f>IFERROR(HLOOKUP(F211,Fee_Lookup!$B$1:$E$2,2,FALSE),"Method not found")</f>
        <v>5.0000000000000001E-3</v>
      </c>
      <c r="M211" s="6">
        <f t="shared" si="6"/>
        <v>0.245</v>
      </c>
      <c r="N211" s="8">
        <f t="shared" si="7"/>
        <v>46028</v>
      </c>
    </row>
    <row r="212" spans="1:14" x14ac:dyDescent="0.4">
      <c r="A212" t="s">
        <v>279</v>
      </c>
      <c r="B212">
        <v>16</v>
      </c>
      <c r="C212">
        <v>6</v>
      </c>
      <c r="D212" s="2">
        <v>46027.986111111109</v>
      </c>
      <c r="E212">
        <v>1499</v>
      </c>
      <c r="F212" t="s">
        <v>66</v>
      </c>
      <c r="G212" t="s">
        <v>64</v>
      </c>
      <c r="H212">
        <v>95</v>
      </c>
      <c r="I212" t="str">
        <f>IFERROR(VLOOKUP($C212,Merchants!$A$2:$D$41,2,FALSE),"Merchant not found")</f>
        <v>Merchant_006</v>
      </c>
      <c r="J212" t="str">
        <f>IFERROR(VLOOKUP($C212,Merchants!$A$2:$D$41,3,FALSE),"Merchant not found")</f>
        <v>food_delivery</v>
      </c>
      <c r="K212" t="str">
        <f>IFERROR(VLOOKUP($C212,Merchants!$A$2:$D$41,4,FALSE),"Merchant not found")</f>
        <v>South</v>
      </c>
      <c r="L212" s="3">
        <f>IFERROR(HLOOKUP(F212,Fee_Lookup!$B$1:$E$2,2,FALSE),"Method not found")</f>
        <v>5.0000000000000001E-3</v>
      </c>
      <c r="M212" s="6">
        <f t="shared" si="6"/>
        <v>7.4950000000000001</v>
      </c>
      <c r="N212" s="8">
        <f t="shared" si="7"/>
        <v>46027</v>
      </c>
    </row>
    <row r="213" spans="1:14" x14ac:dyDescent="0.4">
      <c r="A213" t="s">
        <v>280</v>
      </c>
      <c r="B213">
        <v>215</v>
      </c>
      <c r="C213">
        <v>30</v>
      </c>
      <c r="D213" s="2">
        <v>46039.26666666667</v>
      </c>
      <c r="E213">
        <v>49</v>
      </c>
      <c r="F213" t="s">
        <v>66</v>
      </c>
      <c r="G213" t="s">
        <v>64</v>
      </c>
      <c r="H213">
        <v>43</v>
      </c>
      <c r="I213" t="str">
        <f>IFERROR(VLOOKUP($C213,Merchants!$A$2:$D$41,2,FALSE),"Merchant not found")</f>
        <v>Merchant_030</v>
      </c>
      <c r="J213" t="str">
        <f>IFERROR(VLOOKUP($C213,Merchants!$A$2:$D$41,3,FALSE),"Merchant not found")</f>
        <v>travel</v>
      </c>
      <c r="K213" t="str">
        <f>IFERROR(VLOOKUP($C213,Merchants!$A$2:$D$41,4,FALSE),"Merchant not found")</f>
        <v>West</v>
      </c>
      <c r="L213" s="3">
        <f>IFERROR(HLOOKUP(F213,Fee_Lookup!$B$1:$E$2,2,FALSE),"Method not found")</f>
        <v>5.0000000000000001E-3</v>
      </c>
      <c r="M213" s="6">
        <f t="shared" si="6"/>
        <v>0.245</v>
      </c>
      <c r="N213" s="8">
        <f t="shared" si="7"/>
        <v>46039</v>
      </c>
    </row>
    <row r="214" spans="1:14" x14ac:dyDescent="0.4">
      <c r="A214" t="s">
        <v>281</v>
      </c>
      <c r="B214">
        <v>167</v>
      </c>
      <c r="C214">
        <v>37</v>
      </c>
      <c r="D214" s="2">
        <v>46028.47152777778</v>
      </c>
      <c r="E214">
        <v>99</v>
      </c>
      <c r="F214" t="s">
        <v>66</v>
      </c>
      <c r="G214" t="s">
        <v>64</v>
      </c>
      <c r="H214">
        <v>76</v>
      </c>
      <c r="I214" t="str">
        <f>IFERROR(VLOOKUP($C214,Merchants!$A$2:$D$41,2,FALSE),"Merchant not found")</f>
        <v>Merchant_037</v>
      </c>
      <c r="J214" t="str">
        <f>IFERROR(VLOOKUP($C214,Merchants!$A$2:$D$41,3,FALSE),"Merchant not found")</f>
        <v>entertainment</v>
      </c>
      <c r="K214" t="str">
        <f>IFERROR(VLOOKUP($C214,Merchants!$A$2:$D$41,4,FALSE),"Merchant not found")</f>
        <v>South</v>
      </c>
      <c r="L214" s="3">
        <f>IFERROR(HLOOKUP(F214,Fee_Lookup!$B$1:$E$2,2,FALSE),"Method not found")</f>
        <v>5.0000000000000001E-3</v>
      </c>
      <c r="M214" s="6">
        <f t="shared" si="6"/>
        <v>0.495</v>
      </c>
      <c r="N214" s="8">
        <f t="shared" si="7"/>
        <v>46028</v>
      </c>
    </row>
    <row r="215" spans="1:14" x14ac:dyDescent="0.4">
      <c r="A215" t="s">
        <v>282</v>
      </c>
      <c r="B215">
        <v>81</v>
      </c>
      <c r="C215">
        <v>40</v>
      </c>
      <c r="D215" s="2">
        <v>46025.04791666667</v>
      </c>
      <c r="E215">
        <v>49</v>
      </c>
      <c r="F215" t="s">
        <v>66</v>
      </c>
      <c r="G215" t="s">
        <v>64</v>
      </c>
      <c r="H215">
        <v>6</v>
      </c>
      <c r="I215" t="str">
        <f>IFERROR(VLOOKUP($C215,Merchants!$A$2:$D$41,2,FALSE),"Merchant not found")</f>
        <v>Merchant_040</v>
      </c>
      <c r="J215" t="str">
        <f>IFERROR(VLOOKUP($C215,Merchants!$A$2:$D$41,3,FALSE),"Merchant not found")</f>
        <v>entertainment</v>
      </c>
      <c r="K215" t="str">
        <f>IFERROR(VLOOKUP($C215,Merchants!$A$2:$D$41,4,FALSE),"Merchant not found")</f>
        <v>South</v>
      </c>
      <c r="L215" s="3">
        <f>IFERROR(HLOOKUP(F215,Fee_Lookup!$B$1:$E$2,2,FALSE),"Method not found")</f>
        <v>5.0000000000000001E-3</v>
      </c>
      <c r="M215" s="6">
        <f t="shared" si="6"/>
        <v>0.245</v>
      </c>
      <c r="N215" s="8">
        <f t="shared" si="7"/>
        <v>46025</v>
      </c>
    </row>
    <row r="216" spans="1:14" x14ac:dyDescent="0.4">
      <c r="A216" t="s">
        <v>283</v>
      </c>
      <c r="B216">
        <v>227</v>
      </c>
      <c r="C216">
        <v>28</v>
      </c>
      <c r="D216" s="2">
        <v>46044.095138888886</v>
      </c>
      <c r="E216">
        <v>99</v>
      </c>
      <c r="F216" t="s">
        <v>66</v>
      </c>
      <c r="G216" t="s">
        <v>64</v>
      </c>
      <c r="H216">
        <v>62</v>
      </c>
      <c r="I216" t="str">
        <f>IFERROR(VLOOKUP($C216,Merchants!$A$2:$D$41,2,FALSE),"Merchant not found")</f>
        <v>Merchant_028</v>
      </c>
      <c r="J216" t="str">
        <f>IFERROR(VLOOKUP($C216,Merchants!$A$2:$D$41,3,FALSE),"Merchant not found")</f>
        <v>ecommerce</v>
      </c>
      <c r="K216" t="str">
        <f>IFERROR(VLOOKUP($C216,Merchants!$A$2:$D$41,4,FALSE),"Merchant not found")</f>
        <v>South</v>
      </c>
      <c r="L216" s="3">
        <f>IFERROR(HLOOKUP(F216,Fee_Lookup!$B$1:$E$2,2,FALSE),"Method not found")</f>
        <v>5.0000000000000001E-3</v>
      </c>
      <c r="M216" s="6">
        <f t="shared" si="6"/>
        <v>0.495</v>
      </c>
      <c r="N216" s="8">
        <f t="shared" si="7"/>
        <v>46044</v>
      </c>
    </row>
    <row r="217" spans="1:14" x14ac:dyDescent="0.4">
      <c r="A217" t="s">
        <v>284</v>
      </c>
      <c r="B217">
        <v>140</v>
      </c>
      <c r="C217">
        <v>14</v>
      </c>
      <c r="D217" s="2">
        <v>46042.601388888892</v>
      </c>
      <c r="E217">
        <v>299</v>
      </c>
      <c r="F217" t="s">
        <v>63</v>
      </c>
      <c r="G217" t="s">
        <v>64</v>
      </c>
      <c r="H217">
        <v>96</v>
      </c>
      <c r="I217" t="str">
        <f>IFERROR(VLOOKUP($C217,Merchants!$A$2:$D$41,2,FALSE),"Merchant not found")</f>
        <v>Merchant_014</v>
      </c>
      <c r="J217" t="str">
        <f>IFERROR(VLOOKUP($C217,Merchants!$A$2:$D$41,3,FALSE),"Merchant not found")</f>
        <v>grocery</v>
      </c>
      <c r="K217" t="str">
        <f>IFERROR(VLOOKUP($C217,Merchants!$A$2:$D$41,4,FALSE),"Merchant not found")</f>
        <v>East</v>
      </c>
      <c r="L217" s="3">
        <f>IFERROR(HLOOKUP(F217,Fee_Lookup!$B$1:$E$2,2,FALSE),"Method not found")</f>
        <v>7.4999999999999997E-3</v>
      </c>
      <c r="M217" s="6">
        <f t="shared" si="6"/>
        <v>2.2424999999999997</v>
      </c>
      <c r="N217" s="8">
        <f t="shared" si="7"/>
        <v>46042</v>
      </c>
    </row>
    <row r="218" spans="1:14" x14ac:dyDescent="0.4">
      <c r="A218" t="s">
        <v>285</v>
      </c>
      <c r="B218">
        <v>221</v>
      </c>
      <c r="C218">
        <v>8</v>
      </c>
      <c r="D218" s="2">
        <v>46039.140277777777</v>
      </c>
      <c r="E218">
        <v>299</v>
      </c>
      <c r="F218" t="s">
        <v>66</v>
      </c>
      <c r="G218" t="s">
        <v>64</v>
      </c>
      <c r="H218">
        <v>36</v>
      </c>
      <c r="I218" t="str">
        <f>IFERROR(VLOOKUP($C218,Merchants!$A$2:$D$41,2,FALSE),"Merchant not found")</f>
        <v>Merchant_008</v>
      </c>
      <c r="J218" t="str">
        <f>IFERROR(VLOOKUP($C218,Merchants!$A$2:$D$41,3,FALSE),"Merchant not found")</f>
        <v>food_delivery</v>
      </c>
      <c r="K218" t="str">
        <f>IFERROR(VLOOKUP($C218,Merchants!$A$2:$D$41,4,FALSE),"Merchant not found")</f>
        <v>North</v>
      </c>
      <c r="L218" s="3">
        <f>IFERROR(HLOOKUP(F218,Fee_Lookup!$B$1:$E$2,2,FALSE),"Method not found")</f>
        <v>5.0000000000000001E-3</v>
      </c>
      <c r="M218" s="6">
        <f t="shared" si="6"/>
        <v>1.4950000000000001</v>
      </c>
      <c r="N218" s="8">
        <f t="shared" si="7"/>
        <v>46039</v>
      </c>
    </row>
    <row r="219" spans="1:14" x14ac:dyDescent="0.4">
      <c r="A219" t="s">
        <v>286</v>
      </c>
      <c r="B219">
        <v>250</v>
      </c>
      <c r="C219">
        <v>34</v>
      </c>
      <c r="D219" s="2">
        <v>46044.900694444441</v>
      </c>
      <c r="E219">
        <v>299</v>
      </c>
      <c r="F219" t="s">
        <v>63</v>
      </c>
      <c r="G219" t="s">
        <v>64</v>
      </c>
      <c r="H219">
        <v>85</v>
      </c>
      <c r="I219" t="str">
        <f>IFERROR(VLOOKUP($C219,Merchants!$A$2:$D$41,2,FALSE),"Merchant not found")</f>
        <v>Merchant_034</v>
      </c>
      <c r="J219" t="str">
        <f>IFERROR(VLOOKUP($C219,Merchants!$A$2:$D$41,3,FALSE),"Merchant not found")</f>
        <v>travel</v>
      </c>
      <c r="K219" t="str">
        <f>IFERROR(VLOOKUP($C219,Merchants!$A$2:$D$41,4,FALSE),"Merchant not found")</f>
        <v>South</v>
      </c>
      <c r="L219" s="3">
        <f>IFERROR(HLOOKUP(F219,Fee_Lookup!$B$1:$E$2,2,FALSE),"Method not found")</f>
        <v>7.4999999999999997E-3</v>
      </c>
      <c r="M219" s="6">
        <f t="shared" si="6"/>
        <v>2.2424999999999997</v>
      </c>
      <c r="N219" s="8">
        <f t="shared" si="7"/>
        <v>46044</v>
      </c>
    </row>
    <row r="220" spans="1:14" x14ac:dyDescent="0.4">
      <c r="A220" t="s">
        <v>287</v>
      </c>
      <c r="B220">
        <v>203</v>
      </c>
      <c r="C220">
        <v>39</v>
      </c>
      <c r="D220" s="2">
        <v>46032.051388888889</v>
      </c>
      <c r="E220">
        <v>49</v>
      </c>
      <c r="F220" t="s">
        <v>66</v>
      </c>
      <c r="G220" t="s">
        <v>64</v>
      </c>
      <c r="H220">
        <v>7</v>
      </c>
      <c r="I220" t="str">
        <f>IFERROR(VLOOKUP($C220,Merchants!$A$2:$D$41,2,FALSE),"Merchant not found")</f>
        <v>Merchant_039</v>
      </c>
      <c r="J220" t="str">
        <f>IFERROR(VLOOKUP($C220,Merchants!$A$2:$D$41,3,FALSE),"Merchant not found")</f>
        <v>entertainment</v>
      </c>
      <c r="K220" t="str">
        <f>IFERROR(VLOOKUP($C220,Merchants!$A$2:$D$41,4,FALSE),"Merchant not found")</f>
        <v>North</v>
      </c>
      <c r="L220" s="3">
        <f>IFERROR(HLOOKUP(F220,Fee_Lookup!$B$1:$E$2,2,FALSE),"Method not found")</f>
        <v>5.0000000000000001E-3</v>
      </c>
      <c r="M220" s="6">
        <f t="shared" si="6"/>
        <v>0.245</v>
      </c>
      <c r="N220" s="8">
        <f t="shared" si="7"/>
        <v>46032</v>
      </c>
    </row>
    <row r="221" spans="1:14" x14ac:dyDescent="0.4">
      <c r="A221" t="s">
        <v>288</v>
      </c>
      <c r="B221">
        <v>109</v>
      </c>
      <c r="C221">
        <v>9</v>
      </c>
      <c r="D221" s="2">
        <v>46023.263194444444</v>
      </c>
      <c r="E221">
        <v>499</v>
      </c>
      <c r="F221" t="s">
        <v>63</v>
      </c>
      <c r="G221" t="s">
        <v>64</v>
      </c>
      <c r="H221">
        <v>97</v>
      </c>
      <c r="I221" t="str">
        <f>IFERROR(VLOOKUP($C221,Merchants!$A$2:$D$41,2,FALSE),"Merchant not found")</f>
        <v>Merchant_009</v>
      </c>
      <c r="J221" t="str">
        <f>IFERROR(VLOOKUP($C221,Merchants!$A$2:$D$41,3,FALSE),"Merchant not found")</f>
        <v>ecommerce</v>
      </c>
      <c r="K221" t="str">
        <f>IFERROR(VLOOKUP($C221,Merchants!$A$2:$D$41,4,FALSE),"Merchant not found")</f>
        <v>North</v>
      </c>
      <c r="L221" s="3">
        <f>IFERROR(HLOOKUP(F221,Fee_Lookup!$B$1:$E$2,2,FALSE),"Method not found")</f>
        <v>7.4999999999999997E-3</v>
      </c>
      <c r="M221" s="6">
        <f t="shared" si="6"/>
        <v>3.7424999999999997</v>
      </c>
      <c r="N221" s="8">
        <f t="shared" si="7"/>
        <v>46023</v>
      </c>
    </row>
    <row r="222" spans="1:14" x14ac:dyDescent="0.4">
      <c r="A222" t="s">
        <v>289</v>
      </c>
      <c r="B222">
        <v>62</v>
      </c>
      <c r="C222">
        <v>1</v>
      </c>
      <c r="D222" s="2">
        <v>46031.388888888891</v>
      </c>
      <c r="E222">
        <v>4999</v>
      </c>
      <c r="F222" t="s">
        <v>63</v>
      </c>
      <c r="G222" t="s">
        <v>64</v>
      </c>
      <c r="H222">
        <v>63</v>
      </c>
      <c r="I222" t="str">
        <f>IFERROR(VLOOKUP($C222,Merchants!$A$2:$D$41,2,FALSE),"Merchant not found")</f>
        <v>Merchant_001</v>
      </c>
      <c r="J222" t="str">
        <f>IFERROR(VLOOKUP($C222,Merchants!$A$2:$D$41,3,FALSE),"Merchant not found")</f>
        <v>ecommerce</v>
      </c>
      <c r="K222" t="str">
        <f>IFERROR(VLOOKUP($C222,Merchants!$A$2:$D$41,4,FALSE),"Merchant not found")</f>
        <v>South</v>
      </c>
      <c r="L222" s="3">
        <f>IFERROR(HLOOKUP(F222,Fee_Lookup!$B$1:$E$2,2,FALSE),"Method not found")</f>
        <v>7.4999999999999997E-3</v>
      </c>
      <c r="M222" s="6">
        <f t="shared" si="6"/>
        <v>37.4925</v>
      </c>
      <c r="N222" s="8">
        <f t="shared" si="7"/>
        <v>46031</v>
      </c>
    </row>
    <row r="223" spans="1:14" x14ac:dyDescent="0.4">
      <c r="A223" t="s">
        <v>290</v>
      </c>
      <c r="B223">
        <v>67</v>
      </c>
      <c r="C223">
        <v>25</v>
      </c>
      <c r="D223" s="2">
        <v>46046.549305555556</v>
      </c>
      <c r="E223">
        <v>49</v>
      </c>
      <c r="F223" t="s">
        <v>66</v>
      </c>
      <c r="G223" t="s">
        <v>64</v>
      </c>
      <c r="H223">
        <v>68</v>
      </c>
      <c r="I223" t="str">
        <f>IFERROR(VLOOKUP($C223,Merchants!$A$2:$D$41,2,FALSE),"Merchant not found")</f>
        <v>Merchant_025</v>
      </c>
      <c r="J223" t="str">
        <f>IFERROR(VLOOKUP($C223,Merchants!$A$2:$D$41,3,FALSE),"Merchant not found")</f>
        <v>travel</v>
      </c>
      <c r="K223" t="str">
        <f>IFERROR(VLOOKUP($C223,Merchants!$A$2:$D$41,4,FALSE),"Merchant not found")</f>
        <v>South</v>
      </c>
      <c r="L223" s="3">
        <f>IFERROR(HLOOKUP(F223,Fee_Lookup!$B$1:$E$2,2,FALSE),"Method not found")</f>
        <v>5.0000000000000001E-3</v>
      </c>
      <c r="M223" s="6">
        <f t="shared" si="6"/>
        <v>0.245</v>
      </c>
      <c r="N223" s="8">
        <f t="shared" si="7"/>
        <v>46046</v>
      </c>
    </row>
    <row r="224" spans="1:14" x14ac:dyDescent="0.4">
      <c r="A224" t="s">
        <v>291</v>
      </c>
      <c r="B224">
        <v>287</v>
      </c>
      <c r="C224">
        <v>23</v>
      </c>
      <c r="D224" s="2">
        <v>46045.313888888886</v>
      </c>
      <c r="E224">
        <v>49</v>
      </c>
      <c r="F224" t="s">
        <v>66</v>
      </c>
      <c r="G224" t="s">
        <v>64</v>
      </c>
      <c r="H224">
        <v>9</v>
      </c>
      <c r="I224" t="str">
        <f>IFERROR(VLOOKUP($C224,Merchants!$A$2:$D$41,2,FALSE),"Merchant not found")</f>
        <v>Merchant_023</v>
      </c>
      <c r="J224" t="str">
        <f>IFERROR(VLOOKUP($C224,Merchants!$A$2:$D$41,3,FALSE),"Merchant not found")</f>
        <v>travel</v>
      </c>
      <c r="K224" t="str">
        <f>IFERROR(VLOOKUP($C224,Merchants!$A$2:$D$41,4,FALSE),"Merchant not found")</f>
        <v>North</v>
      </c>
      <c r="L224" s="3">
        <f>IFERROR(HLOOKUP(F224,Fee_Lookup!$B$1:$E$2,2,FALSE),"Method not found")</f>
        <v>5.0000000000000001E-3</v>
      </c>
      <c r="M224" s="6">
        <f t="shared" si="6"/>
        <v>0.245</v>
      </c>
      <c r="N224" s="8">
        <f t="shared" si="7"/>
        <v>46045</v>
      </c>
    </row>
    <row r="225" spans="1:14" x14ac:dyDescent="0.4">
      <c r="A225" t="s">
        <v>292</v>
      </c>
      <c r="B225">
        <v>224</v>
      </c>
      <c r="C225">
        <v>2</v>
      </c>
      <c r="D225" s="2">
        <v>46035.959722222222</v>
      </c>
      <c r="E225">
        <v>49</v>
      </c>
      <c r="F225" t="s">
        <v>78</v>
      </c>
      <c r="G225" t="s">
        <v>64</v>
      </c>
      <c r="H225">
        <v>58</v>
      </c>
      <c r="I225" t="str">
        <f>IFERROR(VLOOKUP($C225,Merchants!$A$2:$D$41,2,FALSE),"Merchant not found")</f>
        <v>Merchant_002</v>
      </c>
      <c r="J225" t="str">
        <f>IFERROR(VLOOKUP($C225,Merchants!$A$2:$D$41,3,FALSE),"Merchant not found")</f>
        <v>grocery</v>
      </c>
      <c r="K225" t="str">
        <f>IFERROR(VLOOKUP($C225,Merchants!$A$2:$D$41,4,FALSE),"Merchant not found")</f>
        <v>West</v>
      </c>
      <c r="L225" s="3">
        <f>IFERROR(HLOOKUP(F225,Fee_Lookup!$B$1:$E$2,2,FALSE),"Method not found")</f>
        <v>1.2E-2</v>
      </c>
      <c r="M225" s="6">
        <f t="shared" si="6"/>
        <v>0.58799999999999997</v>
      </c>
      <c r="N225" s="8">
        <f t="shared" si="7"/>
        <v>46035</v>
      </c>
    </row>
    <row r="226" spans="1:14" x14ac:dyDescent="0.4">
      <c r="A226" t="s">
        <v>293</v>
      </c>
      <c r="B226">
        <v>161</v>
      </c>
      <c r="C226">
        <v>37</v>
      </c>
      <c r="D226" s="2">
        <v>46052.121527777781</v>
      </c>
      <c r="E226">
        <v>299</v>
      </c>
      <c r="F226" t="s">
        <v>66</v>
      </c>
      <c r="G226" t="s">
        <v>64</v>
      </c>
      <c r="H226">
        <v>54</v>
      </c>
      <c r="I226" t="str">
        <f>IFERROR(VLOOKUP($C226,Merchants!$A$2:$D$41,2,FALSE),"Merchant not found")</f>
        <v>Merchant_037</v>
      </c>
      <c r="J226" t="str">
        <f>IFERROR(VLOOKUP($C226,Merchants!$A$2:$D$41,3,FALSE),"Merchant not found")</f>
        <v>entertainment</v>
      </c>
      <c r="K226" t="str">
        <f>IFERROR(VLOOKUP($C226,Merchants!$A$2:$D$41,4,FALSE),"Merchant not found")</f>
        <v>South</v>
      </c>
      <c r="L226" s="3">
        <f>IFERROR(HLOOKUP(F226,Fee_Lookup!$B$1:$E$2,2,FALSE),"Method not found")</f>
        <v>5.0000000000000001E-3</v>
      </c>
      <c r="M226" s="6">
        <f t="shared" si="6"/>
        <v>1.4950000000000001</v>
      </c>
      <c r="N226" s="8">
        <f t="shared" si="7"/>
        <v>46052</v>
      </c>
    </row>
    <row r="227" spans="1:14" x14ac:dyDescent="0.4">
      <c r="A227" t="s">
        <v>294</v>
      </c>
      <c r="B227">
        <v>328</v>
      </c>
      <c r="C227">
        <v>27</v>
      </c>
      <c r="D227" s="2">
        <v>46041.53125</v>
      </c>
      <c r="E227">
        <v>49</v>
      </c>
      <c r="F227" t="s">
        <v>66</v>
      </c>
      <c r="G227" t="s">
        <v>92</v>
      </c>
      <c r="H227">
        <v>37</v>
      </c>
      <c r="I227" t="str">
        <f>IFERROR(VLOOKUP($C227,Merchants!$A$2:$D$41,2,FALSE),"Merchant not found")</f>
        <v>Merchant_027</v>
      </c>
      <c r="J227" t="str">
        <f>IFERROR(VLOOKUP($C227,Merchants!$A$2:$D$41,3,FALSE),"Merchant not found")</f>
        <v>ecommerce</v>
      </c>
      <c r="K227" t="str">
        <f>IFERROR(VLOOKUP($C227,Merchants!$A$2:$D$41,4,FALSE),"Merchant not found")</f>
        <v>North</v>
      </c>
      <c r="L227" s="3">
        <f>IFERROR(HLOOKUP(F227,Fee_Lookup!$B$1:$E$2,2,FALSE),"Method not found")</f>
        <v>5.0000000000000001E-3</v>
      </c>
      <c r="M227" s="6">
        <f t="shared" si="6"/>
        <v>0.245</v>
      </c>
      <c r="N227" s="8">
        <f t="shared" si="7"/>
        <v>46041</v>
      </c>
    </row>
    <row r="228" spans="1:14" x14ac:dyDescent="0.4">
      <c r="A228" t="s">
        <v>295</v>
      </c>
      <c r="B228">
        <v>167</v>
      </c>
      <c r="C228">
        <v>11</v>
      </c>
      <c r="D228" s="2">
        <v>46026.500694444447</v>
      </c>
      <c r="E228">
        <v>1499</v>
      </c>
      <c r="F228" t="s">
        <v>78</v>
      </c>
      <c r="G228" t="s">
        <v>79</v>
      </c>
      <c r="H228">
        <v>79</v>
      </c>
      <c r="I228" t="str">
        <f>IFERROR(VLOOKUP($C228,Merchants!$A$2:$D$41,2,FALSE),"Merchant not found")</f>
        <v>Merchant_011</v>
      </c>
      <c r="J228" t="str">
        <f>IFERROR(VLOOKUP($C228,Merchants!$A$2:$D$41,3,FALSE),"Merchant not found")</f>
        <v>ecommerce</v>
      </c>
      <c r="K228" t="str">
        <f>IFERROR(VLOOKUP($C228,Merchants!$A$2:$D$41,4,FALSE),"Merchant not found")</f>
        <v>North</v>
      </c>
      <c r="L228" s="3">
        <f>IFERROR(HLOOKUP(F228,Fee_Lookup!$B$1:$E$2,2,FALSE),"Method not found")</f>
        <v>1.2E-2</v>
      </c>
      <c r="M228" s="6">
        <f t="shared" si="6"/>
        <v>17.988</v>
      </c>
      <c r="N228" s="8">
        <f t="shared" si="7"/>
        <v>46026</v>
      </c>
    </row>
    <row r="229" spans="1:14" x14ac:dyDescent="0.4">
      <c r="A229" t="s">
        <v>296</v>
      </c>
      <c r="B229">
        <v>186</v>
      </c>
      <c r="C229">
        <v>6</v>
      </c>
      <c r="D229" s="2">
        <v>46037.956944444442</v>
      </c>
      <c r="E229">
        <v>49</v>
      </c>
      <c r="F229" t="s">
        <v>63</v>
      </c>
      <c r="G229" t="s">
        <v>64</v>
      </c>
      <c r="H229">
        <v>55</v>
      </c>
      <c r="I229" t="str">
        <f>IFERROR(VLOOKUP($C229,Merchants!$A$2:$D$41,2,FALSE),"Merchant not found")</f>
        <v>Merchant_006</v>
      </c>
      <c r="J229" t="str">
        <f>IFERROR(VLOOKUP($C229,Merchants!$A$2:$D$41,3,FALSE),"Merchant not found")</f>
        <v>food_delivery</v>
      </c>
      <c r="K229" t="str">
        <f>IFERROR(VLOOKUP($C229,Merchants!$A$2:$D$41,4,FALSE),"Merchant not found")</f>
        <v>South</v>
      </c>
      <c r="L229" s="3">
        <f>IFERROR(HLOOKUP(F229,Fee_Lookup!$B$1:$E$2,2,FALSE),"Method not found")</f>
        <v>7.4999999999999997E-3</v>
      </c>
      <c r="M229" s="6">
        <f t="shared" si="6"/>
        <v>0.36749999999999999</v>
      </c>
      <c r="N229" s="8">
        <f t="shared" si="7"/>
        <v>46037</v>
      </c>
    </row>
    <row r="230" spans="1:14" x14ac:dyDescent="0.4">
      <c r="A230" t="s">
        <v>297</v>
      </c>
      <c r="B230">
        <v>224</v>
      </c>
      <c r="C230">
        <v>38</v>
      </c>
      <c r="D230" s="2">
        <v>46050.135416666664</v>
      </c>
      <c r="E230">
        <v>299</v>
      </c>
      <c r="F230" t="s">
        <v>63</v>
      </c>
      <c r="G230" t="s">
        <v>79</v>
      </c>
      <c r="H230">
        <v>51</v>
      </c>
      <c r="I230" t="str">
        <f>IFERROR(VLOOKUP($C230,Merchants!$A$2:$D$41,2,FALSE),"Merchant not found")</f>
        <v>Merchant_038</v>
      </c>
      <c r="J230" t="str">
        <f>IFERROR(VLOOKUP($C230,Merchants!$A$2:$D$41,3,FALSE),"Merchant not found")</f>
        <v>grocery</v>
      </c>
      <c r="K230" t="str">
        <f>IFERROR(VLOOKUP($C230,Merchants!$A$2:$D$41,4,FALSE),"Merchant not found")</f>
        <v>East</v>
      </c>
      <c r="L230" s="3">
        <f>IFERROR(HLOOKUP(F230,Fee_Lookup!$B$1:$E$2,2,FALSE),"Method not found")</f>
        <v>7.4999999999999997E-3</v>
      </c>
      <c r="M230" s="6">
        <f t="shared" si="6"/>
        <v>2.2424999999999997</v>
      </c>
      <c r="N230" s="8">
        <f t="shared" si="7"/>
        <v>46050</v>
      </c>
    </row>
    <row r="231" spans="1:14" x14ac:dyDescent="0.4">
      <c r="A231" t="s">
        <v>298</v>
      </c>
      <c r="B231">
        <v>159</v>
      </c>
      <c r="C231">
        <v>22</v>
      </c>
      <c r="D231" s="2">
        <v>46039.100694444445</v>
      </c>
      <c r="E231">
        <v>799</v>
      </c>
      <c r="F231" t="s">
        <v>66</v>
      </c>
      <c r="G231" t="s">
        <v>64</v>
      </c>
      <c r="H231">
        <v>28</v>
      </c>
      <c r="I231" t="str">
        <f>IFERROR(VLOOKUP($C231,Merchants!$A$2:$D$41,2,FALSE),"Merchant not found")</f>
        <v>Merchant_022</v>
      </c>
      <c r="J231" t="str">
        <f>IFERROR(VLOOKUP($C231,Merchants!$A$2:$D$41,3,FALSE),"Merchant not found")</f>
        <v>travel</v>
      </c>
      <c r="K231" t="str">
        <f>IFERROR(VLOOKUP($C231,Merchants!$A$2:$D$41,4,FALSE),"Merchant not found")</f>
        <v>South</v>
      </c>
      <c r="L231" s="3">
        <f>IFERROR(HLOOKUP(F231,Fee_Lookup!$B$1:$E$2,2,FALSE),"Method not found")</f>
        <v>5.0000000000000001E-3</v>
      </c>
      <c r="M231" s="6">
        <f t="shared" si="6"/>
        <v>3.9950000000000001</v>
      </c>
      <c r="N231" s="8">
        <f t="shared" si="7"/>
        <v>46039</v>
      </c>
    </row>
    <row r="232" spans="1:14" x14ac:dyDescent="0.4">
      <c r="A232" t="s">
        <v>299</v>
      </c>
      <c r="B232">
        <v>262</v>
      </c>
      <c r="C232">
        <v>8</v>
      </c>
      <c r="D232" s="2">
        <v>46033.211111111108</v>
      </c>
      <c r="E232">
        <v>149</v>
      </c>
      <c r="F232" t="s">
        <v>66</v>
      </c>
      <c r="G232" t="s">
        <v>64</v>
      </c>
      <c r="H232">
        <v>67</v>
      </c>
      <c r="I232" t="str">
        <f>IFERROR(VLOOKUP($C232,Merchants!$A$2:$D$41,2,FALSE),"Merchant not found")</f>
        <v>Merchant_008</v>
      </c>
      <c r="J232" t="str">
        <f>IFERROR(VLOOKUP($C232,Merchants!$A$2:$D$41,3,FALSE),"Merchant not found")</f>
        <v>food_delivery</v>
      </c>
      <c r="K232" t="str">
        <f>IFERROR(VLOOKUP($C232,Merchants!$A$2:$D$41,4,FALSE),"Merchant not found")</f>
        <v>North</v>
      </c>
      <c r="L232" s="3">
        <f>IFERROR(HLOOKUP(F232,Fee_Lookup!$B$1:$E$2,2,FALSE),"Method not found")</f>
        <v>5.0000000000000001E-3</v>
      </c>
      <c r="M232" s="6">
        <f t="shared" si="6"/>
        <v>0.745</v>
      </c>
      <c r="N232" s="8">
        <f t="shared" si="7"/>
        <v>46033</v>
      </c>
    </row>
    <row r="233" spans="1:14" x14ac:dyDescent="0.4">
      <c r="A233" t="s">
        <v>300</v>
      </c>
      <c r="B233">
        <v>179</v>
      </c>
      <c r="C233">
        <v>23</v>
      </c>
      <c r="D233" s="2">
        <v>46039.289583333331</v>
      </c>
      <c r="E233">
        <v>49</v>
      </c>
      <c r="F233" t="s">
        <v>63</v>
      </c>
      <c r="G233" t="s">
        <v>64</v>
      </c>
      <c r="H233">
        <v>93</v>
      </c>
      <c r="I233" t="str">
        <f>IFERROR(VLOOKUP($C233,Merchants!$A$2:$D$41,2,FALSE),"Merchant not found")</f>
        <v>Merchant_023</v>
      </c>
      <c r="J233" t="str">
        <f>IFERROR(VLOOKUP($C233,Merchants!$A$2:$D$41,3,FALSE),"Merchant not found")</f>
        <v>travel</v>
      </c>
      <c r="K233" t="str">
        <f>IFERROR(VLOOKUP($C233,Merchants!$A$2:$D$41,4,FALSE),"Merchant not found")</f>
        <v>North</v>
      </c>
      <c r="L233" s="3">
        <f>IFERROR(HLOOKUP(F233,Fee_Lookup!$B$1:$E$2,2,FALSE),"Method not found")</f>
        <v>7.4999999999999997E-3</v>
      </c>
      <c r="M233" s="6">
        <f t="shared" si="6"/>
        <v>0.36749999999999999</v>
      </c>
      <c r="N233" s="8">
        <f t="shared" si="7"/>
        <v>46039</v>
      </c>
    </row>
    <row r="234" spans="1:14" x14ac:dyDescent="0.4">
      <c r="A234" t="s">
        <v>301</v>
      </c>
      <c r="B234">
        <v>76</v>
      </c>
      <c r="C234">
        <v>16</v>
      </c>
      <c r="D234" s="2">
        <v>46049.869444444441</v>
      </c>
      <c r="E234">
        <v>299</v>
      </c>
      <c r="F234" t="s">
        <v>66</v>
      </c>
      <c r="G234" t="s">
        <v>64</v>
      </c>
      <c r="H234">
        <v>13</v>
      </c>
      <c r="I234" t="str">
        <f>IFERROR(VLOOKUP($C234,Merchants!$A$2:$D$41,2,FALSE),"Merchant not found")</f>
        <v>Merchant_016</v>
      </c>
      <c r="J234" t="str">
        <f>IFERROR(VLOOKUP($C234,Merchants!$A$2:$D$41,3,FALSE),"Merchant not found")</f>
        <v>bill_payment</v>
      </c>
      <c r="K234" t="str">
        <f>IFERROR(VLOOKUP($C234,Merchants!$A$2:$D$41,4,FALSE),"Merchant not found")</f>
        <v>West</v>
      </c>
      <c r="L234" s="3">
        <f>IFERROR(HLOOKUP(F234,Fee_Lookup!$B$1:$E$2,2,FALSE),"Method not found")</f>
        <v>5.0000000000000001E-3</v>
      </c>
      <c r="M234" s="6">
        <f t="shared" si="6"/>
        <v>1.4950000000000001</v>
      </c>
      <c r="N234" s="8">
        <f t="shared" si="7"/>
        <v>46049</v>
      </c>
    </row>
    <row r="235" spans="1:14" x14ac:dyDescent="0.4">
      <c r="A235" t="s">
        <v>302</v>
      </c>
      <c r="B235">
        <v>89</v>
      </c>
      <c r="C235">
        <v>39</v>
      </c>
      <c r="D235" s="2">
        <v>46027.341666666667</v>
      </c>
      <c r="E235">
        <v>299</v>
      </c>
      <c r="F235" t="s">
        <v>66</v>
      </c>
      <c r="G235" t="s">
        <v>64</v>
      </c>
      <c r="H235">
        <v>19</v>
      </c>
      <c r="I235" t="str">
        <f>IFERROR(VLOOKUP($C235,Merchants!$A$2:$D$41,2,FALSE),"Merchant not found")</f>
        <v>Merchant_039</v>
      </c>
      <c r="J235" t="str">
        <f>IFERROR(VLOOKUP($C235,Merchants!$A$2:$D$41,3,FALSE),"Merchant not found")</f>
        <v>entertainment</v>
      </c>
      <c r="K235" t="str">
        <f>IFERROR(VLOOKUP($C235,Merchants!$A$2:$D$41,4,FALSE),"Merchant not found")</f>
        <v>North</v>
      </c>
      <c r="L235" s="3">
        <f>IFERROR(HLOOKUP(F235,Fee_Lookup!$B$1:$E$2,2,FALSE),"Method not found")</f>
        <v>5.0000000000000001E-3</v>
      </c>
      <c r="M235" s="6">
        <f t="shared" si="6"/>
        <v>1.4950000000000001</v>
      </c>
      <c r="N235" s="8">
        <f t="shared" si="7"/>
        <v>46027</v>
      </c>
    </row>
    <row r="236" spans="1:14" x14ac:dyDescent="0.4">
      <c r="A236" t="s">
        <v>303</v>
      </c>
      <c r="B236">
        <v>91</v>
      </c>
      <c r="C236">
        <v>32</v>
      </c>
      <c r="D236" s="2">
        <v>46047.836111111108</v>
      </c>
      <c r="E236">
        <v>49</v>
      </c>
      <c r="F236" t="s">
        <v>66</v>
      </c>
      <c r="G236" t="s">
        <v>64</v>
      </c>
      <c r="H236">
        <v>59</v>
      </c>
      <c r="I236" t="str">
        <f>IFERROR(VLOOKUP($C236,Merchants!$A$2:$D$41,2,FALSE),"Merchant not found")</f>
        <v>Merchant_032</v>
      </c>
      <c r="J236" t="str">
        <f>IFERROR(VLOOKUP($C236,Merchants!$A$2:$D$41,3,FALSE),"Merchant not found")</f>
        <v>food_delivery</v>
      </c>
      <c r="K236" t="str">
        <f>IFERROR(VLOOKUP($C236,Merchants!$A$2:$D$41,4,FALSE),"Merchant not found")</f>
        <v>West</v>
      </c>
      <c r="L236" s="3">
        <f>IFERROR(HLOOKUP(F236,Fee_Lookup!$B$1:$E$2,2,FALSE),"Method not found")</f>
        <v>5.0000000000000001E-3</v>
      </c>
      <c r="M236" s="6">
        <f t="shared" si="6"/>
        <v>0.245</v>
      </c>
      <c r="N236" s="8">
        <f t="shared" si="7"/>
        <v>46047</v>
      </c>
    </row>
    <row r="237" spans="1:14" x14ac:dyDescent="0.4">
      <c r="A237" t="s">
        <v>304</v>
      </c>
      <c r="B237">
        <v>297</v>
      </c>
      <c r="C237">
        <v>29</v>
      </c>
      <c r="D237" s="2">
        <v>46047.783333333333</v>
      </c>
      <c r="E237">
        <v>99</v>
      </c>
      <c r="F237" t="s">
        <v>78</v>
      </c>
      <c r="G237" t="s">
        <v>92</v>
      </c>
      <c r="H237">
        <v>87</v>
      </c>
      <c r="I237" t="str">
        <f>IFERROR(VLOOKUP($C237,Merchants!$A$2:$D$41,2,FALSE),"Merchant not found")</f>
        <v>Merchant_029</v>
      </c>
      <c r="J237" t="str">
        <f>IFERROR(VLOOKUP($C237,Merchants!$A$2:$D$41,3,FALSE),"Merchant not found")</f>
        <v>ecommerce</v>
      </c>
      <c r="K237" t="str">
        <f>IFERROR(VLOOKUP($C237,Merchants!$A$2:$D$41,4,FALSE),"Merchant not found")</f>
        <v>North</v>
      </c>
      <c r="L237" s="3">
        <f>IFERROR(HLOOKUP(F237,Fee_Lookup!$B$1:$E$2,2,FALSE),"Method not found")</f>
        <v>1.2E-2</v>
      </c>
      <c r="M237" s="6">
        <f t="shared" si="6"/>
        <v>1.1879999999999999</v>
      </c>
      <c r="N237" s="8">
        <f t="shared" si="7"/>
        <v>46047</v>
      </c>
    </row>
    <row r="238" spans="1:14" x14ac:dyDescent="0.4">
      <c r="A238" t="s">
        <v>305</v>
      </c>
      <c r="B238">
        <v>326</v>
      </c>
      <c r="C238">
        <v>40</v>
      </c>
      <c r="D238" s="2">
        <v>46052.77847222222</v>
      </c>
      <c r="E238">
        <v>499</v>
      </c>
      <c r="F238" t="s">
        <v>78</v>
      </c>
      <c r="G238" t="s">
        <v>64</v>
      </c>
      <c r="H238">
        <v>41</v>
      </c>
      <c r="I238" t="str">
        <f>IFERROR(VLOOKUP($C238,Merchants!$A$2:$D$41,2,FALSE),"Merchant not found")</f>
        <v>Merchant_040</v>
      </c>
      <c r="J238" t="str">
        <f>IFERROR(VLOOKUP($C238,Merchants!$A$2:$D$41,3,FALSE),"Merchant not found")</f>
        <v>entertainment</v>
      </c>
      <c r="K238" t="str">
        <f>IFERROR(VLOOKUP($C238,Merchants!$A$2:$D$41,4,FALSE),"Merchant not found")</f>
        <v>South</v>
      </c>
      <c r="L238" s="3">
        <f>IFERROR(HLOOKUP(F238,Fee_Lookup!$B$1:$E$2,2,FALSE),"Method not found")</f>
        <v>1.2E-2</v>
      </c>
      <c r="M238" s="6">
        <f t="shared" si="6"/>
        <v>5.9880000000000004</v>
      </c>
      <c r="N238" s="8">
        <f t="shared" si="7"/>
        <v>46052</v>
      </c>
    </row>
    <row r="239" spans="1:14" x14ac:dyDescent="0.4">
      <c r="A239" t="s">
        <v>306</v>
      </c>
      <c r="B239">
        <v>78</v>
      </c>
      <c r="C239">
        <v>29</v>
      </c>
      <c r="D239" s="2">
        <v>46050.847222222219</v>
      </c>
      <c r="E239">
        <v>149</v>
      </c>
      <c r="F239" t="s">
        <v>66</v>
      </c>
      <c r="G239" t="s">
        <v>64</v>
      </c>
      <c r="H239">
        <v>8</v>
      </c>
      <c r="I239" t="str">
        <f>IFERROR(VLOOKUP($C239,Merchants!$A$2:$D$41,2,FALSE),"Merchant not found")</f>
        <v>Merchant_029</v>
      </c>
      <c r="J239" t="str">
        <f>IFERROR(VLOOKUP($C239,Merchants!$A$2:$D$41,3,FALSE),"Merchant not found")</f>
        <v>ecommerce</v>
      </c>
      <c r="K239" t="str">
        <f>IFERROR(VLOOKUP($C239,Merchants!$A$2:$D$41,4,FALSE),"Merchant not found")</f>
        <v>North</v>
      </c>
      <c r="L239" s="3">
        <f>IFERROR(HLOOKUP(F239,Fee_Lookup!$B$1:$E$2,2,FALSE),"Method not found")</f>
        <v>5.0000000000000001E-3</v>
      </c>
      <c r="M239" s="6">
        <f t="shared" si="6"/>
        <v>0.745</v>
      </c>
      <c r="N239" s="8">
        <f t="shared" si="7"/>
        <v>46050</v>
      </c>
    </row>
    <row r="240" spans="1:14" x14ac:dyDescent="0.4">
      <c r="A240" t="s">
        <v>307</v>
      </c>
      <c r="B240">
        <v>156</v>
      </c>
      <c r="C240">
        <v>18</v>
      </c>
      <c r="D240" s="2">
        <v>46038.611111111109</v>
      </c>
      <c r="E240">
        <v>2999</v>
      </c>
      <c r="F240" t="s">
        <v>78</v>
      </c>
      <c r="G240" t="s">
        <v>64</v>
      </c>
      <c r="H240">
        <v>75</v>
      </c>
      <c r="I240" t="str">
        <f>IFERROR(VLOOKUP($C240,Merchants!$A$2:$D$41,2,FALSE),"Merchant not found")</f>
        <v>Merchant_018</v>
      </c>
      <c r="J240" t="str">
        <f>IFERROR(VLOOKUP($C240,Merchants!$A$2:$D$41,3,FALSE),"Merchant not found")</f>
        <v>grocery</v>
      </c>
      <c r="K240" t="str">
        <f>IFERROR(VLOOKUP($C240,Merchants!$A$2:$D$41,4,FALSE),"Merchant not found")</f>
        <v>West</v>
      </c>
      <c r="L240" s="3">
        <f>IFERROR(HLOOKUP(F240,Fee_Lookup!$B$1:$E$2,2,FALSE),"Method not found")</f>
        <v>1.2E-2</v>
      </c>
      <c r="M240" s="6">
        <f t="shared" si="6"/>
        <v>35.988</v>
      </c>
      <c r="N240" s="8">
        <f t="shared" si="7"/>
        <v>46038</v>
      </c>
    </row>
    <row r="241" spans="1:14" x14ac:dyDescent="0.4">
      <c r="A241" t="s">
        <v>308</v>
      </c>
      <c r="B241">
        <v>38</v>
      </c>
      <c r="C241">
        <v>20</v>
      </c>
      <c r="D241" s="2">
        <v>46024.480555555558</v>
      </c>
      <c r="E241">
        <v>49</v>
      </c>
      <c r="F241" t="s">
        <v>63</v>
      </c>
      <c r="G241" t="s">
        <v>79</v>
      </c>
      <c r="H241">
        <v>59</v>
      </c>
      <c r="I241" t="str">
        <f>IFERROR(VLOOKUP($C241,Merchants!$A$2:$D$41,2,FALSE),"Merchant not found")</f>
        <v>Merchant_020</v>
      </c>
      <c r="J241" t="str">
        <f>IFERROR(VLOOKUP($C241,Merchants!$A$2:$D$41,3,FALSE),"Merchant not found")</f>
        <v>food_delivery</v>
      </c>
      <c r="K241" t="str">
        <f>IFERROR(VLOOKUP($C241,Merchants!$A$2:$D$41,4,FALSE),"Merchant not found")</f>
        <v>East</v>
      </c>
      <c r="L241" s="3">
        <f>IFERROR(HLOOKUP(F241,Fee_Lookup!$B$1:$E$2,2,FALSE),"Method not found")</f>
        <v>7.4999999999999997E-3</v>
      </c>
      <c r="M241" s="6">
        <f t="shared" si="6"/>
        <v>0.36749999999999999</v>
      </c>
      <c r="N241" s="8">
        <f t="shared" si="7"/>
        <v>46024</v>
      </c>
    </row>
    <row r="242" spans="1:14" x14ac:dyDescent="0.4">
      <c r="A242" t="s">
        <v>309</v>
      </c>
      <c r="B242">
        <v>189</v>
      </c>
      <c r="C242">
        <v>19</v>
      </c>
      <c r="D242" s="2">
        <v>46037.043749999997</v>
      </c>
      <c r="E242">
        <v>99</v>
      </c>
      <c r="F242" t="s">
        <v>66</v>
      </c>
      <c r="G242" t="s">
        <v>79</v>
      </c>
      <c r="H242">
        <v>9</v>
      </c>
      <c r="I242" t="str">
        <f>IFERROR(VLOOKUP($C242,Merchants!$A$2:$D$41,2,FALSE),"Merchant not found")</f>
        <v>Merchant_019</v>
      </c>
      <c r="J242" t="str">
        <f>IFERROR(VLOOKUP($C242,Merchants!$A$2:$D$41,3,FALSE),"Merchant not found")</f>
        <v>grocery</v>
      </c>
      <c r="K242" t="str">
        <f>IFERROR(VLOOKUP($C242,Merchants!$A$2:$D$41,4,FALSE),"Merchant not found")</f>
        <v>North</v>
      </c>
      <c r="L242" s="3">
        <f>IFERROR(HLOOKUP(F242,Fee_Lookup!$B$1:$E$2,2,FALSE),"Method not found")</f>
        <v>5.0000000000000001E-3</v>
      </c>
      <c r="M242" s="6">
        <f t="shared" si="6"/>
        <v>0.495</v>
      </c>
      <c r="N242" s="8">
        <f t="shared" si="7"/>
        <v>46037</v>
      </c>
    </row>
    <row r="243" spans="1:14" x14ac:dyDescent="0.4">
      <c r="A243" t="s">
        <v>310</v>
      </c>
      <c r="B243">
        <v>305</v>
      </c>
      <c r="C243">
        <v>33</v>
      </c>
      <c r="D243" s="2">
        <v>46043.11041666667</v>
      </c>
      <c r="E243">
        <v>299</v>
      </c>
      <c r="F243" t="s">
        <v>78</v>
      </c>
      <c r="G243" t="s">
        <v>64</v>
      </c>
      <c r="H243">
        <v>49</v>
      </c>
      <c r="I243" t="str">
        <f>IFERROR(VLOOKUP($C243,Merchants!$A$2:$D$41,2,FALSE),"Merchant not found")</f>
        <v>Merchant_033</v>
      </c>
      <c r="J243" t="str">
        <f>IFERROR(VLOOKUP($C243,Merchants!$A$2:$D$41,3,FALSE),"Merchant not found")</f>
        <v>bill_payment</v>
      </c>
      <c r="K243" t="str">
        <f>IFERROR(VLOOKUP($C243,Merchants!$A$2:$D$41,4,FALSE),"Merchant not found")</f>
        <v>East</v>
      </c>
      <c r="L243" s="3">
        <f>IFERROR(HLOOKUP(F243,Fee_Lookup!$B$1:$E$2,2,FALSE),"Method not found")</f>
        <v>1.2E-2</v>
      </c>
      <c r="M243" s="6">
        <f t="shared" si="6"/>
        <v>3.5880000000000001</v>
      </c>
      <c r="N243" s="8">
        <f t="shared" si="7"/>
        <v>46043</v>
      </c>
    </row>
    <row r="244" spans="1:14" x14ac:dyDescent="0.4">
      <c r="A244" t="s">
        <v>311</v>
      </c>
      <c r="B244">
        <v>22</v>
      </c>
      <c r="C244">
        <v>29</v>
      </c>
      <c r="D244" s="2">
        <v>46037.774305555555</v>
      </c>
      <c r="E244">
        <v>799</v>
      </c>
      <c r="F244" t="s">
        <v>66</v>
      </c>
      <c r="G244" t="s">
        <v>64</v>
      </c>
      <c r="H244">
        <v>73</v>
      </c>
      <c r="I244" t="str">
        <f>IFERROR(VLOOKUP($C244,Merchants!$A$2:$D$41,2,FALSE),"Merchant not found")</f>
        <v>Merchant_029</v>
      </c>
      <c r="J244" t="str">
        <f>IFERROR(VLOOKUP($C244,Merchants!$A$2:$D$41,3,FALSE),"Merchant not found")</f>
        <v>ecommerce</v>
      </c>
      <c r="K244" t="str">
        <f>IFERROR(VLOOKUP($C244,Merchants!$A$2:$D$41,4,FALSE),"Merchant not found")</f>
        <v>North</v>
      </c>
      <c r="L244" s="3">
        <f>IFERROR(HLOOKUP(F244,Fee_Lookup!$B$1:$E$2,2,FALSE),"Method not found")</f>
        <v>5.0000000000000001E-3</v>
      </c>
      <c r="M244" s="6">
        <f t="shared" si="6"/>
        <v>3.9950000000000001</v>
      </c>
      <c r="N244" s="8">
        <f t="shared" si="7"/>
        <v>46037</v>
      </c>
    </row>
    <row r="245" spans="1:14" x14ac:dyDescent="0.4">
      <c r="A245" t="s">
        <v>312</v>
      </c>
      <c r="B245">
        <v>310</v>
      </c>
      <c r="C245">
        <v>31</v>
      </c>
      <c r="D245" s="2">
        <v>46043.263888888891</v>
      </c>
      <c r="E245">
        <v>49</v>
      </c>
      <c r="F245" t="s">
        <v>78</v>
      </c>
      <c r="G245" t="s">
        <v>64</v>
      </c>
      <c r="H245">
        <v>64</v>
      </c>
      <c r="I245" t="str">
        <f>IFERROR(VLOOKUP($C245,Merchants!$A$2:$D$41,2,FALSE),"Merchant not found")</f>
        <v>Merchant_031</v>
      </c>
      <c r="J245" t="str">
        <f>IFERROR(VLOOKUP($C245,Merchants!$A$2:$D$41,3,FALSE),"Merchant not found")</f>
        <v>bill_payment</v>
      </c>
      <c r="K245" t="str">
        <f>IFERROR(VLOOKUP($C245,Merchants!$A$2:$D$41,4,FALSE),"Merchant not found")</f>
        <v>East</v>
      </c>
      <c r="L245" s="3">
        <f>IFERROR(HLOOKUP(F245,Fee_Lookup!$B$1:$E$2,2,FALSE),"Method not found")</f>
        <v>1.2E-2</v>
      </c>
      <c r="M245" s="6">
        <f t="shared" si="6"/>
        <v>0.58799999999999997</v>
      </c>
      <c r="N245" s="8">
        <f t="shared" si="7"/>
        <v>46043</v>
      </c>
    </row>
    <row r="246" spans="1:14" x14ac:dyDescent="0.4">
      <c r="A246" t="s">
        <v>313</v>
      </c>
      <c r="B246">
        <v>53</v>
      </c>
      <c r="C246">
        <v>22</v>
      </c>
      <c r="D246" s="2">
        <v>46027.061111111114</v>
      </c>
      <c r="E246">
        <v>299</v>
      </c>
      <c r="F246" t="s">
        <v>66</v>
      </c>
      <c r="G246" t="s">
        <v>64</v>
      </c>
      <c r="H246">
        <v>91</v>
      </c>
      <c r="I246" t="str">
        <f>IFERROR(VLOOKUP($C246,Merchants!$A$2:$D$41,2,FALSE),"Merchant not found")</f>
        <v>Merchant_022</v>
      </c>
      <c r="J246" t="str">
        <f>IFERROR(VLOOKUP($C246,Merchants!$A$2:$D$41,3,FALSE),"Merchant not found")</f>
        <v>travel</v>
      </c>
      <c r="K246" t="str">
        <f>IFERROR(VLOOKUP($C246,Merchants!$A$2:$D$41,4,FALSE),"Merchant not found")</f>
        <v>South</v>
      </c>
      <c r="L246" s="3">
        <f>IFERROR(HLOOKUP(F246,Fee_Lookup!$B$1:$E$2,2,FALSE),"Method not found")</f>
        <v>5.0000000000000001E-3</v>
      </c>
      <c r="M246" s="6">
        <f t="shared" si="6"/>
        <v>1.4950000000000001</v>
      </c>
      <c r="N246" s="8">
        <f t="shared" si="7"/>
        <v>46027</v>
      </c>
    </row>
    <row r="247" spans="1:14" x14ac:dyDescent="0.4">
      <c r="A247" t="s">
        <v>314</v>
      </c>
      <c r="B247">
        <v>89</v>
      </c>
      <c r="C247">
        <v>3</v>
      </c>
      <c r="D247" s="2">
        <v>46025.695138888892</v>
      </c>
      <c r="E247">
        <v>149</v>
      </c>
      <c r="F247" t="s">
        <v>78</v>
      </c>
      <c r="G247" t="s">
        <v>64</v>
      </c>
      <c r="H247">
        <v>31</v>
      </c>
      <c r="I247" t="str">
        <f>IFERROR(VLOOKUP($C247,Merchants!$A$2:$D$41,2,FALSE),"Merchant not found")</f>
        <v>Merchant_003</v>
      </c>
      <c r="J247" t="str">
        <f>IFERROR(VLOOKUP($C247,Merchants!$A$2:$D$41,3,FALSE),"Merchant not found")</f>
        <v>grocery</v>
      </c>
      <c r="K247" t="str">
        <f>IFERROR(VLOOKUP($C247,Merchants!$A$2:$D$41,4,FALSE),"Merchant not found")</f>
        <v>East</v>
      </c>
      <c r="L247" s="3">
        <f>IFERROR(HLOOKUP(F247,Fee_Lookup!$B$1:$E$2,2,FALSE),"Method not found")</f>
        <v>1.2E-2</v>
      </c>
      <c r="M247" s="6">
        <f t="shared" si="6"/>
        <v>1.788</v>
      </c>
      <c r="N247" s="8">
        <f t="shared" si="7"/>
        <v>46025</v>
      </c>
    </row>
    <row r="248" spans="1:14" x14ac:dyDescent="0.4">
      <c r="A248" t="s">
        <v>315</v>
      </c>
      <c r="B248">
        <v>269</v>
      </c>
      <c r="C248">
        <v>34</v>
      </c>
      <c r="D248" s="2">
        <v>46045.602777777778</v>
      </c>
      <c r="E248">
        <v>149</v>
      </c>
      <c r="F248" t="s">
        <v>66</v>
      </c>
      <c r="G248" t="s">
        <v>64</v>
      </c>
      <c r="H248">
        <v>78</v>
      </c>
      <c r="I248" t="str">
        <f>IFERROR(VLOOKUP($C248,Merchants!$A$2:$D$41,2,FALSE),"Merchant not found")</f>
        <v>Merchant_034</v>
      </c>
      <c r="J248" t="str">
        <f>IFERROR(VLOOKUP($C248,Merchants!$A$2:$D$41,3,FALSE),"Merchant not found")</f>
        <v>travel</v>
      </c>
      <c r="K248" t="str">
        <f>IFERROR(VLOOKUP($C248,Merchants!$A$2:$D$41,4,FALSE),"Merchant not found")</f>
        <v>South</v>
      </c>
      <c r="L248" s="3">
        <f>IFERROR(HLOOKUP(F248,Fee_Lookup!$B$1:$E$2,2,FALSE),"Method not found")</f>
        <v>5.0000000000000001E-3</v>
      </c>
      <c r="M248" s="6">
        <f t="shared" si="6"/>
        <v>0.745</v>
      </c>
      <c r="N248" s="8">
        <f t="shared" si="7"/>
        <v>46045</v>
      </c>
    </row>
    <row r="249" spans="1:14" x14ac:dyDescent="0.4">
      <c r="A249" t="s">
        <v>316</v>
      </c>
      <c r="B249">
        <v>145</v>
      </c>
      <c r="C249">
        <v>25</v>
      </c>
      <c r="D249" s="2">
        <v>46028.474305555559</v>
      </c>
      <c r="E249">
        <v>799</v>
      </c>
      <c r="F249" t="s">
        <v>66</v>
      </c>
      <c r="G249" t="s">
        <v>64</v>
      </c>
      <c r="H249">
        <v>52</v>
      </c>
      <c r="I249" t="str">
        <f>IFERROR(VLOOKUP($C249,Merchants!$A$2:$D$41,2,FALSE),"Merchant not found")</f>
        <v>Merchant_025</v>
      </c>
      <c r="J249" t="str">
        <f>IFERROR(VLOOKUP($C249,Merchants!$A$2:$D$41,3,FALSE),"Merchant not found")</f>
        <v>travel</v>
      </c>
      <c r="K249" t="str">
        <f>IFERROR(VLOOKUP($C249,Merchants!$A$2:$D$41,4,FALSE),"Merchant not found")</f>
        <v>South</v>
      </c>
      <c r="L249" s="3">
        <f>IFERROR(HLOOKUP(F249,Fee_Lookup!$B$1:$E$2,2,FALSE),"Method not found")</f>
        <v>5.0000000000000001E-3</v>
      </c>
      <c r="M249" s="6">
        <f t="shared" si="6"/>
        <v>3.9950000000000001</v>
      </c>
      <c r="N249" s="8">
        <f t="shared" si="7"/>
        <v>46028</v>
      </c>
    </row>
    <row r="250" spans="1:14" x14ac:dyDescent="0.4">
      <c r="A250" t="s">
        <v>317</v>
      </c>
      <c r="B250">
        <v>307</v>
      </c>
      <c r="C250">
        <v>4</v>
      </c>
      <c r="D250" s="2">
        <v>46047.446527777778</v>
      </c>
      <c r="E250">
        <v>1499</v>
      </c>
      <c r="F250" t="s">
        <v>66</v>
      </c>
      <c r="G250" t="s">
        <v>64</v>
      </c>
      <c r="H250">
        <v>80</v>
      </c>
      <c r="I250" t="str">
        <f>IFERROR(VLOOKUP($C250,Merchants!$A$2:$D$41,2,FALSE),"Merchant not found")</f>
        <v>Merchant_004</v>
      </c>
      <c r="J250" t="str">
        <f>IFERROR(VLOOKUP($C250,Merchants!$A$2:$D$41,3,FALSE),"Merchant not found")</f>
        <v>ecommerce</v>
      </c>
      <c r="K250" t="str">
        <f>IFERROR(VLOOKUP($C250,Merchants!$A$2:$D$41,4,FALSE),"Merchant not found")</f>
        <v>East</v>
      </c>
      <c r="L250" s="3">
        <f>IFERROR(HLOOKUP(F250,Fee_Lookup!$B$1:$E$2,2,FALSE),"Method not found")</f>
        <v>5.0000000000000001E-3</v>
      </c>
      <c r="M250" s="6">
        <f t="shared" si="6"/>
        <v>7.4950000000000001</v>
      </c>
      <c r="N250" s="8">
        <f t="shared" si="7"/>
        <v>46047</v>
      </c>
    </row>
    <row r="251" spans="1:14" x14ac:dyDescent="0.4">
      <c r="A251" t="s">
        <v>318</v>
      </c>
      <c r="B251">
        <v>169</v>
      </c>
      <c r="C251">
        <v>7</v>
      </c>
      <c r="D251" s="2">
        <v>46043.419444444444</v>
      </c>
      <c r="E251">
        <v>1499</v>
      </c>
      <c r="F251" t="s">
        <v>63</v>
      </c>
      <c r="G251" t="s">
        <v>64</v>
      </c>
      <c r="H251">
        <v>71</v>
      </c>
      <c r="I251" t="str">
        <f>IFERROR(VLOOKUP($C251,Merchants!$A$2:$D$41,2,FALSE),"Merchant not found")</f>
        <v>Merchant_007</v>
      </c>
      <c r="J251" t="str">
        <f>IFERROR(VLOOKUP($C251,Merchants!$A$2:$D$41,3,FALSE),"Merchant not found")</f>
        <v>food_delivery</v>
      </c>
      <c r="K251" t="str">
        <f>IFERROR(VLOOKUP($C251,Merchants!$A$2:$D$41,4,FALSE),"Merchant not found")</f>
        <v>East</v>
      </c>
      <c r="L251" s="3">
        <f>IFERROR(HLOOKUP(F251,Fee_Lookup!$B$1:$E$2,2,FALSE),"Method not found")</f>
        <v>7.4999999999999997E-3</v>
      </c>
      <c r="M251" s="6">
        <f t="shared" si="6"/>
        <v>11.2425</v>
      </c>
      <c r="N251" s="8">
        <f t="shared" si="7"/>
        <v>46043</v>
      </c>
    </row>
    <row r="252" spans="1:14" x14ac:dyDescent="0.4">
      <c r="A252" t="s">
        <v>319</v>
      </c>
      <c r="B252">
        <v>130</v>
      </c>
      <c r="C252">
        <v>39</v>
      </c>
      <c r="D252" s="2">
        <v>46044.512499999997</v>
      </c>
      <c r="E252">
        <v>2999</v>
      </c>
      <c r="F252" t="s">
        <v>63</v>
      </c>
      <c r="G252" t="s">
        <v>64</v>
      </c>
      <c r="H252">
        <v>19</v>
      </c>
      <c r="I252" t="str">
        <f>IFERROR(VLOOKUP($C252,Merchants!$A$2:$D$41,2,FALSE),"Merchant not found")</f>
        <v>Merchant_039</v>
      </c>
      <c r="J252" t="str">
        <f>IFERROR(VLOOKUP($C252,Merchants!$A$2:$D$41,3,FALSE),"Merchant not found")</f>
        <v>entertainment</v>
      </c>
      <c r="K252" t="str">
        <f>IFERROR(VLOOKUP($C252,Merchants!$A$2:$D$41,4,FALSE),"Merchant not found")</f>
        <v>North</v>
      </c>
      <c r="L252" s="3">
        <f>IFERROR(HLOOKUP(F252,Fee_Lookup!$B$1:$E$2,2,FALSE),"Method not found")</f>
        <v>7.4999999999999997E-3</v>
      </c>
      <c r="M252" s="6">
        <f t="shared" si="6"/>
        <v>22.4925</v>
      </c>
      <c r="N252" s="8">
        <f t="shared" si="7"/>
        <v>46044</v>
      </c>
    </row>
    <row r="253" spans="1:14" x14ac:dyDescent="0.4">
      <c r="A253" t="s">
        <v>320</v>
      </c>
      <c r="B253">
        <v>340</v>
      </c>
      <c r="C253">
        <v>10</v>
      </c>
      <c r="D253" s="2">
        <v>46033.109027777777</v>
      </c>
      <c r="E253">
        <v>49</v>
      </c>
      <c r="F253" t="s">
        <v>78</v>
      </c>
      <c r="G253" t="s">
        <v>64</v>
      </c>
      <c r="H253">
        <v>44</v>
      </c>
      <c r="I253" t="str">
        <f>IFERROR(VLOOKUP($C253,Merchants!$A$2:$D$41,2,FALSE),"Merchant not found")</f>
        <v>Merchant_010</v>
      </c>
      <c r="J253" t="str">
        <f>IFERROR(VLOOKUP($C253,Merchants!$A$2:$D$41,3,FALSE),"Merchant not found")</f>
        <v>grocery</v>
      </c>
      <c r="K253" t="str">
        <f>IFERROR(VLOOKUP($C253,Merchants!$A$2:$D$41,4,FALSE),"Merchant not found")</f>
        <v>West</v>
      </c>
      <c r="L253" s="3">
        <f>IFERROR(HLOOKUP(F253,Fee_Lookup!$B$1:$E$2,2,FALSE),"Method not found")</f>
        <v>1.2E-2</v>
      </c>
      <c r="M253" s="6">
        <f t="shared" si="6"/>
        <v>0.58799999999999997</v>
      </c>
      <c r="N253" s="8">
        <f t="shared" si="7"/>
        <v>46033</v>
      </c>
    </row>
    <row r="254" spans="1:14" x14ac:dyDescent="0.4">
      <c r="A254" t="s">
        <v>321</v>
      </c>
      <c r="B254">
        <v>340</v>
      </c>
      <c r="C254">
        <v>26</v>
      </c>
      <c r="D254" s="2">
        <v>46032.863888888889</v>
      </c>
      <c r="E254">
        <v>299</v>
      </c>
      <c r="F254" t="s">
        <v>78</v>
      </c>
      <c r="G254" t="s">
        <v>64</v>
      </c>
      <c r="H254">
        <v>16</v>
      </c>
      <c r="I254" t="str">
        <f>IFERROR(VLOOKUP($C254,Merchants!$A$2:$D$41,2,FALSE),"Merchant not found")</f>
        <v>Merchant_026</v>
      </c>
      <c r="J254" t="str">
        <f>IFERROR(VLOOKUP($C254,Merchants!$A$2:$D$41,3,FALSE),"Merchant not found")</f>
        <v>food_delivery</v>
      </c>
      <c r="K254" t="str">
        <f>IFERROR(VLOOKUP($C254,Merchants!$A$2:$D$41,4,FALSE),"Merchant not found")</f>
        <v>East</v>
      </c>
      <c r="L254" s="3">
        <f>IFERROR(HLOOKUP(F254,Fee_Lookup!$B$1:$E$2,2,FALSE),"Method not found")</f>
        <v>1.2E-2</v>
      </c>
      <c r="M254" s="6">
        <f t="shared" si="6"/>
        <v>3.5880000000000001</v>
      </c>
      <c r="N254" s="8">
        <f t="shared" si="7"/>
        <v>46032</v>
      </c>
    </row>
    <row r="255" spans="1:14" x14ac:dyDescent="0.4">
      <c r="A255" t="s">
        <v>322</v>
      </c>
      <c r="B255">
        <v>159</v>
      </c>
      <c r="C255">
        <v>36</v>
      </c>
      <c r="D255" s="2">
        <v>46042.920138888891</v>
      </c>
      <c r="E255">
        <v>49</v>
      </c>
      <c r="F255" t="s">
        <v>66</v>
      </c>
      <c r="G255" t="s">
        <v>64</v>
      </c>
      <c r="H255">
        <v>48</v>
      </c>
      <c r="I255" t="str">
        <f>IFERROR(VLOOKUP($C255,Merchants!$A$2:$D$41,2,FALSE),"Merchant not found")</f>
        <v>Merchant_036</v>
      </c>
      <c r="J255" t="str">
        <f>IFERROR(VLOOKUP($C255,Merchants!$A$2:$D$41,3,FALSE),"Merchant not found")</f>
        <v>entertainment</v>
      </c>
      <c r="K255" t="str">
        <f>IFERROR(VLOOKUP($C255,Merchants!$A$2:$D$41,4,FALSE),"Merchant not found")</f>
        <v>East</v>
      </c>
      <c r="L255" s="3">
        <f>IFERROR(HLOOKUP(F255,Fee_Lookup!$B$1:$E$2,2,FALSE),"Method not found")</f>
        <v>5.0000000000000001E-3</v>
      </c>
      <c r="M255" s="6">
        <f t="shared" si="6"/>
        <v>0.245</v>
      </c>
      <c r="N255" s="8">
        <f t="shared" si="7"/>
        <v>46042</v>
      </c>
    </row>
    <row r="256" spans="1:14" x14ac:dyDescent="0.4">
      <c r="A256" t="s">
        <v>323</v>
      </c>
      <c r="B256">
        <v>66</v>
      </c>
      <c r="C256">
        <v>34</v>
      </c>
      <c r="D256" s="2">
        <v>46043.452777777777</v>
      </c>
      <c r="E256">
        <v>799</v>
      </c>
      <c r="F256" t="s">
        <v>66</v>
      </c>
      <c r="G256" t="s">
        <v>64</v>
      </c>
      <c r="H256">
        <v>11</v>
      </c>
      <c r="I256" t="str">
        <f>IFERROR(VLOOKUP($C256,Merchants!$A$2:$D$41,2,FALSE),"Merchant not found")</f>
        <v>Merchant_034</v>
      </c>
      <c r="J256" t="str">
        <f>IFERROR(VLOOKUP($C256,Merchants!$A$2:$D$41,3,FALSE),"Merchant not found")</f>
        <v>travel</v>
      </c>
      <c r="K256" t="str">
        <f>IFERROR(VLOOKUP($C256,Merchants!$A$2:$D$41,4,FALSE),"Merchant not found")</f>
        <v>South</v>
      </c>
      <c r="L256" s="3">
        <f>IFERROR(HLOOKUP(F256,Fee_Lookup!$B$1:$E$2,2,FALSE),"Method not found")</f>
        <v>5.0000000000000001E-3</v>
      </c>
      <c r="M256" s="6">
        <f t="shared" si="6"/>
        <v>3.9950000000000001</v>
      </c>
      <c r="N256" s="8">
        <f t="shared" si="7"/>
        <v>46043</v>
      </c>
    </row>
    <row r="257" spans="1:14" x14ac:dyDescent="0.4">
      <c r="A257" t="s">
        <v>324</v>
      </c>
      <c r="B257">
        <v>261</v>
      </c>
      <c r="C257">
        <v>24</v>
      </c>
      <c r="D257" s="2">
        <v>46043.893750000003</v>
      </c>
      <c r="E257">
        <v>799</v>
      </c>
      <c r="F257" t="s">
        <v>78</v>
      </c>
      <c r="G257" t="s">
        <v>64</v>
      </c>
      <c r="H257">
        <v>2</v>
      </c>
      <c r="I257" t="str">
        <f>IFERROR(VLOOKUP($C257,Merchants!$A$2:$D$41,2,FALSE),"Merchant not found")</f>
        <v>Merchant_024</v>
      </c>
      <c r="J257" t="str">
        <f>IFERROR(VLOOKUP($C257,Merchants!$A$2:$D$41,3,FALSE),"Merchant not found")</f>
        <v>grocery</v>
      </c>
      <c r="K257" t="str">
        <f>IFERROR(VLOOKUP($C257,Merchants!$A$2:$D$41,4,FALSE),"Merchant not found")</f>
        <v>North</v>
      </c>
      <c r="L257" s="3">
        <f>IFERROR(HLOOKUP(F257,Fee_Lookup!$B$1:$E$2,2,FALSE),"Method not found")</f>
        <v>1.2E-2</v>
      </c>
      <c r="M257" s="6">
        <f t="shared" si="6"/>
        <v>9.588000000000001</v>
      </c>
      <c r="N257" s="8">
        <f t="shared" si="7"/>
        <v>46043</v>
      </c>
    </row>
    <row r="258" spans="1:14" x14ac:dyDescent="0.4">
      <c r="A258" t="s">
        <v>325</v>
      </c>
      <c r="B258">
        <v>110</v>
      </c>
      <c r="C258">
        <v>22</v>
      </c>
      <c r="D258" s="2">
        <v>46034.382638888892</v>
      </c>
      <c r="E258">
        <v>799</v>
      </c>
      <c r="F258" t="s">
        <v>66</v>
      </c>
      <c r="G258" t="s">
        <v>64</v>
      </c>
      <c r="H258">
        <v>98</v>
      </c>
      <c r="I258" t="str">
        <f>IFERROR(VLOOKUP($C258,Merchants!$A$2:$D$41,2,FALSE),"Merchant not found")</f>
        <v>Merchant_022</v>
      </c>
      <c r="J258" t="str">
        <f>IFERROR(VLOOKUP($C258,Merchants!$A$2:$D$41,3,FALSE),"Merchant not found")</f>
        <v>travel</v>
      </c>
      <c r="K258" t="str">
        <f>IFERROR(VLOOKUP($C258,Merchants!$A$2:$D$41,4,FALSE),"Merchant not found")</f>
        <v>South</v>
      </c>
      <c r="L258" s="3">
        <f>IFERROR(HLOOKUP(F258,Fee_Lookup!$B$1:$E$2,2,FALSE),"Method not found")</f>
        <v>5.0000000000000001E-3</v>
      </c>
      <c r="M258" s="6">
        <f t="shared" si="6"/>
        <v>3.9950000000000001</v>
      </c>
      <c r="N258" s="8">
        <f t="shared" si="7"/>
        <v>46034</v>
      </c>
    </row>
    <row r="259" spans="1:14" x14ac:dyDescent="0.4">
      <c r="A259" t="s">
        <v>326</v>
      </c>
      <c r="B259">
        <v>71</v>
      </c>
      <c r="C259">
        <v>10</v>
      </c>
      <c r="D259" s="2">
        <v>46038.259722222225</v>
      </c>
      <c r="E259">
        <v>49</v>
      </c>
      <c r="F259" t="s">
        <v>66</v>
      </c>
      <c r="G259" t="s">
        <v>64</v>
      </c>
      <c r="H259">
        <v>9</v>
      </c>
      <c r="I259" t="str">
        <f>IFERROR(VLOOKUP($C259,Merchants!$A$2:$D$41,2,FALSE),"Merchant not found")</f>
        <v>Merchant_010</v>
      </c>
      <c r="J259" t="str">
        <f>IFERROR(VLOOKUP($C259,Merchants!$A$2:$D$41,3,FALSE),"Merchant not found")</f>
        <v>grocery</v>
      </c>
      <c r="K259" t="str">
        <f>IFERROR(VLOOKUP($C259,Merchants!$A$2:$D$41,4,FALSE),"Merchant not found")</f>
        <v>West</v>
      </c>
      <c r="L259" s="3">
        <f>IFERROR(HLOOKUP(F259,Fee_Lookup!$B$1:$E$2,2,FALSE),"Method not found")</f>
        <v>5.0000000000000001E-3</v>
      </c>
      <c r="M259" s="6">
        <f t="shared" ref="M259:M322" si="8">E259*L259</f>
        <v>0.245</v>
      </c>
      <c r="N259" s="8">
        <f t="shared" ref="N259:N322" si="9">INT(D259)</f>
        <v>46038</v>
      </c>
    </row>
    <row r="260" spans="1:14" x14ac:dyDescent="0.4">
      <c r="A260" t="s">
        <v>327</v>
      </c>
      <c r="B260">
        <v>277</v>
      </c>
      <c r="C260">
        <v>34</v>
      </c>
      <c r="D260" s="2">
        <v>46032.147222222222</v>
      </c>
      <c r="E260">
        <v>49</v>
      </c>
      <c r="F260" t="s">
        <v>66</v>
      </c>
      <c r="G260" t="s">
        <v>64</v>
      </c>
      <c r="H260">
        <v>4</v>
      </c>
      <c r="I260" t="str">
        <f>IFERROR(VLOOKUP($C260,Merchants!$A$2:$D$41,2,FALSE),"Merchant not found")</f>
        <v>Merchant_034</v>
      </c>
      <c r="J260" t="str">
        <f>IFERROR(VLOOKUP($C260,Merchants!$A$2:$D$41,3,FALSE),"Merchant not found")</f>
        <v>travel</v>
      </c>
      <c r="K260" t="str">
        <f>IFERROR(VLOOKUP($C260,Merchants!$A$2:$D$41,4,FALSE),"Merchant not found")</f>
        <v>South</v>
      </c>
      <c r="L260" s="3">
        <f>IFERROR(HLOOKUP(F260,Fee_Lookup!$B$1:$E$2,2,FALSE),"Method not found")</f>
        <v>5.0000000000000001E-3</v>
      </c>
      <c r="M260" s="6">
        <f t="shared" si="8"/>
        <v>0.245</v>
      </c>
      <c r="N260" s="8">
        <f t="shared" si="9"/>
        <v>46032</v>
      </c>
    </row>
    <row r="261" spans="1:14" x14ac:dyDescent="0.4">
      <c r="A261" t="s">
        <v>328</v>
      </c>
      <c r="B261">
        <v>317</v>
      </c>
      <c r="C261">
        <v>9</v>
      </c>
      <c r="D261" s="2">
        <v>46044.455555555556</v>
      </c>
      <c r="E261">
        <v>499</v>
      </c>
      <c r="F261" t="s">
        <v>63</v>
      </c>
      <c r="G261" t="s">
        <v>64</v>
      </c>
      <c r="H261">
        <v>76</v>
      </c>
      <c r="I261" t="str">
        <f>IFERROR(VLOOKUP($C261,Merchants!$A$2:$D$41,2,FALSE),"Merchant not found")</f>
        <v>Merchant_009</v>
      </c>
      <c r="J261" t="str">
        <f>IFERROR(VLOOKUP($C261,Merchants!$A$2:$D$41,3,FALSE),"Merchant not found")</f>
        <v>ecommerce</v>
      </c>
      <c r="K261" t="str">
        <f>IFERROR(VLOOKUP($C261,Merchants!$A$2:$D$41,4,FALSE),"Merchant not found")</f>
        <v>North</v>
      </c>
      <c r="L261" s="3">
        <f>IFERROR(HLOOKUP(F261,Fee_Lookup!$B$1:$E$2,2,FALSE),"Method not found")</f>
        <v>7.4999999999999997E-3</v>
      </c>
      <c r="M261" s="6">
        <f t="shared" si="8"/>
        <v>3.7424999999999997</v>
      </c>
      <c r="N261" s="8">
        <f t="shared" si="9"/>
        <v>46044</v>
      </c>
    </row>
    <row r="262" spans="1:14" x14ac:dyDescent="0.4">
      <c r="A262" t="s">
        <v>329</v>
      </c>
      <c r="B262">
        <v>93</v>
      </c>
      <c r="C262">
        <v>40</v>
      </c>
      <c r="D262" s="2">
        <v>46035.173611111109</v>
      </c>
      <c r="E262">
        <v>299</v>
      </c>
      <c r="F262" t="s">
        <v>66</v>
      </c>
      <c r="G262" t="s">
        <v>64</v>
      </c>
      <c r="H262">
        <v>21</v>
      </c>
      <c r="I262" t="str">
        <f>IFERROR(VLOOKUP($C262,Merchants!$A$2:$D$41,2,FALSE),"Merchant not found")</f>
        <v>Merchant_040</v>
      </c>
      <c r="J262" t="str">
        <f>IFERROR(VLOOKUP($C262,Merchants!$A$2:$D$41,3,FALSE),"Merchant not found")</f>
        <v>entertainment</v>
      </c>
      <c r="K262" t="str">
        <f>IFERROR(VLOOKUP($C262,Merchants!$A$2:$D$41,4,FALSE),"Merchant not found")</f>
        <v>South</v>
      </c>
      <c r="L262" s="3">
        <f>IFERROR(HLOOKUP(F262,Fee_Lookup!$B$1:$E$2,2,FALSE),"Method not found")</f>
        <v>5.0000000000000001E-3</v>
      </c>
      <c r="M262" s="6">
        <f t="shared" si="8"/>
        <v>1.4950000000000001</v>
      </c>
      <c r="N262" s="8">
        <f t="shared" si="9"/>
        <v>46035</v>
      </c>
    </row>
    <row r="263" spans="1:14" x14ac:dyDescent="0.4">
      <c r="A263" t="s">
        <v>330</v>
      </c>
      <c r="B263">
        <v>211</v>
      </c>
      <c r="C263">
        <v>24</v>
      </c>
      <c r="D263" s="2">
        <v>46046.584722222222</v>
      </c>
      <c r="E263">
        <v>99</v>
      </c>
      <c r="F263" t="s">
        <v>69</v>
      </c>
      <c r="G263" t="s">
        <v>64</v>
      </c>
      <c r="H263">
        <v>86</v>
      </c>
      <c r="I263" t="str">
        <f>IFERROR(VLOOKUP($C263,Merchants!$A$2:$D$41,2,FALSE),"Merchant not found")</f>
        <v>Merchant_024</v>
      </c>
      <c r="J263" t="str">
        <f>IFERROR(VLOOKUP($C263,Merchants!$A$2:$D$41,3,FALSE),"Merchant not found")</f>
        <v>grocery</v>
      </c>
      <c r="K263" t="str">
        <f>IFERROR(VLOOKUP($C263,Merchants!$A$2:$D$41,4,FALSE),"Merchant not found")</f>
        <v>North</v>
      </c>
      <c r="L263" s="3">
        <f>IFERROR(HLOOKUP(F263,Fee_Lookup!$B$1:$E$2,2,FALSE),"Method not found")</f>
        <v>0.01</v>
      </c>
      <c r="M263" s="6">
        <f t="shared" si="8"/>
        <v>0.99</v>
      </c>
      <c r="N263" s="8">
        <f t="shared" si="9"/>
        <v>46046</v>
      </c>
    </row>
    <row r="264" spans="1:14" x14ac:dyDescent="0.4">
      <c r="A264" t="s">
        <v>331</v>
      </c>
      <c r="B264">
        <v>313</v>
      </c>
      <c r="C264">
        <v>19</v>
      </c>
      <c r="D264" s="2">
        <v>46046.311111111114</v>
      </c>
      <c r="E264">
        <v>149</v>
      </c>
      <c r="F264" t="s">
        <v>66</v>
      </c>
      <c r="G264" t="s">
        <v>64</v>
      </c>
      <c r="H264">
        <v>96</v>
      </c>
      <c r="I264" t="str">
        <f>IFERROR(VLOOKUP($C264,Merchants!$A$2:$D$41,2,FALSE),"Merchant not found")</f>
        <v>Merchant_019</v>
      </c>
      <c r="J264" t="str">
        <f>IFERROR(VLOOKUP($C264,Merchants!$A$2:$D$41,3,FALSE),"Merchant not found")</f>
        <v>grocery</v>
      </c>
      <c r="K264" t="str">
        <f>IFERROR(VLOOKUP($C264,Merchants!$A$2:$D$41,4,FALSE),"Merchant not found")</f>
        <v>North</v>
      </c>
      <c r="L264" s="3">
        <f>IFERROR(HLOOKUP(F264,Fee_Lookup!$B$1:$E$2,2,FALSE),"Method not found")</f>
        <v>5.0000000000000001E-3</v>
      </c>
      <c r="M264" s="6">
        <f t="shared" si="8"/>
        <v>0.745</v>
      </c>
      <c r="N264" s="8">
        <f t="shared" si="9"/>
        <v>46046</v>
      </c>
    </row>
    <row r="265" spans="1:14" x14ac:dyDescent="0.4">
      <c r="A265" t="s">
        <v>332</v>
      </c>
      <c r="B265">
        <v>274</v>
      </c>
      <c r="C265">
        <v>16</v>
      </c>
      <c r="D265" s="2">
        <v>46046.593055555553</v>
      </c>
      <c r="E265">
        <v>49</v>
      </c>
      <c r="F265" t="s">
        <v>63</v>
      </c>
      <c r="G265" t="s">
        <v>79</v>
      </c>
      <c r="H265">
        <v>39</v>
      </c>
      <c r="I265" t="str">
        <f>IFERROR(VLOOKUP($C265,Merchants!$A$2:$D$41,2,FALSE),"Merchant not found")</f>
        <v>Merchant_016</v>
      </c>
      <c r="J265" t="str">
        <f>IFERROR(VLOOKUP($C265,Merchants!$A$2:$D$41,3,FALSE),"Merchant not found")</f>
        <v>bill_payment</v>
      </c>
      <c r="K265" t="str">
        <f>IFERROR(VLOOKUP($C265,Merchants!$A$2:$D$41,4,FALSE),"Merchant not found")</f>
        <v>West</v>
      </c>
      <c r="L265" s="3">
        <f>IFERROR(HLOOKUP(F265,Fee_Lookup!$B$1:$E$2,2,FALSE),"Method not found")</f>
        <v>7.4999999999999997E-3</v>
      </c>
      <c r="M265" s="6">
        <f t="shared" si="8"/>
        <v>0.36749999999999999</v>
      </c>
      <c r="N265" s="8">
        <f t="shared" si="9"/>
        <v>46046</v>
      </c>
    </row>
    <row r="266" spans="1:14" x14ac:dyDescent="0.4">
      <c r="A266" t="s">
        <v>333</v>
      </c>
      <c r="B266">
        <v>100</v>
      </c>
      <c r="C266">
        <v>24</v>
      </c>
      <c r="D266" s="2">
        <v>46048.664583333331</v>
      </c>
      <c r="E266">
        <v>299</v>
      </c>
      <c r="F266" t="s">
        <v>66</v>
      </c>
      <c r="G266" t="s">
        <v>64</v>
      </c>
      <c r="H266">
        <v>86</v>
      </c>
      <c r="I266" t="str">
        <f>IFERROR(VLOOKUP($C266,Merchants!$A$2:$D$41,2,FALSE),"Merchant not found")</f>
        <v>Merchant_024</v>
      </c>
      <c r="J266" t="str">
        <f>IFERROR(VLOOKUP($C266,Merchants!$A$2:$D$41,3,FALSE),"Merchant not found")</f>
        <v>grocery</v>
      </c>
      <c r="K266" t="str">
        <f>IFERROR(VLOOKUP($C266,Merchants!$A$2:$D$41,4,FALSE),"Merchant not found")</f>
        <v>North</v>
      </c>
      <c r="L266" s="3">
        <f>IFERROR(HLOOKUP(F266,Fee_Lookup!$B$1:$E$2,2,FALSE),"Method not found")</f>
        <v>5.0000000000000001E-3</v>
      </c>
      <c r="M266" s="6">
        <f t="shared" si="8"/>
        <v>1.4950000000000001</v>
      </c>
      <c r="N266" s="8">
        <f t="shared" si="9"/>
        <v>46048</v>
      </c>
    </row>
    <row r="267" spans="1:14" x14ac:dyDescent="0.4">
      <c r="A267" t="s">
        <v>334</v>
      </c>
      <c r="B267">
        <v>145</v>
      </c>
      <c r="C267">
        <v>25</v>
      </c>
      <c r="D267" s="2">
        <v>46041.603472222225</v>
      </c>
      <c r="E267">
        <v>2999</v>
      </c>
      <c r="F267" t="s">
        <v>63</v>
      </c>
      <c r="G267" t="s">
        <v>64</v>
      </c>
      <c r="H267">
        <v>64</v>
      </c>
      <c r="I267" t="str">
        <f>IFERROR(VLOOKUP($C267,Merchants!$A$2:$D$41,2,FALSE),"Merchant not found")</f>
        <v>Merchant_025</v>
      </c>
      <c r="J267" t="str">
        <f>IFERROR(VLOOKUP($C267,Merchants!$A$2:$D$41,3,FALSE),"Merchant not found")</f>
        <v>travel</v>
      </c>
      <c r="K267" t="str">
        <f>IFERROR(VLOOKUP($C267,Merchants!$A$2:$D$41,4,FALSE),"Merchant not found")</f>
        <v>South</v>
      </c>
      <c r="L267" s="3">
        <f>IFERROR(HLOOKUP(F267,Fee_Lookup!$B$1:$E$2,2,FALSE),"Method not found")</f>
        <v>7.4999999999999997E-3</v>
      </c>
      <c r="M267" s="6">
        <f t="shared" si="8"/>
        <v>22.4925</v>
      </c>
      <c r="N267" s="8">
        <f t="shared" si="9"/>
        <v>46041</v>
      </c>
    </row>
    <row r="268" spans="1:14" x14ac:dyDescent="0.4">
      <c r="A268" t="s">
        <v>335</v>
      </c>
      <c r="B268">
        <v>103</v>
      </c>
      <c r="C268">
        <v>39</v>
      </c>
      <c r="D268" s="2">
        <v>46039.548611111109</v>
      </c>
      <c r="E268">
        <v>2999</v>
      </c>
      <c r="F268" t="s">
        <v>63</v>
      </c>
      <c r="G268" t="s">
        <v>64</v>
      </c>
      <c r="H268">
        <v>17</v>
      </c>
      <c r="I268" t="str">
        <f>IFERROR(VLOOKUP($C268,Merchants!$A$2:$D$41,2,FALSE),"Merchant not found")</f>
        <v>Merchant_039</v>
      </c>
      <c r="J268" t="str">
        <f>IFERROR(VLOOKUP($C268,Merchants!$A$2:$D$41,3,FALSE),"Merchant not found")</f>
        <v>entertainment</v>
      </c>
      <c r="K268" t="str">
        <f>IFERROR(VLOOKUP($C268,Merchants!$A$2:$D$41,4,FALSE),"Merchant not found")</f>
        <v>North</v>
      </c>
      <c r="L268" s="3">
        <f>IFERROR(HLOOKUP(F268,Fee_Lookup!$B$1:$E$2,2,FALSE),"Method not found")</f>
        <v>7.4999999999999997E-3</v>
      </c>
      <c r="M268" s="6">
        <f t="shared" si="8"/>
        <v>22.4925</v>
      </c>
      <c r="N268" s="8">
        <f t="shared" si="9"/>
        <v>46039</v>
      </c>
    </row>
    <row r="269" spans="1:14" x14ac:dyDescent="0.4">
      <c r="A269" t="s">
        <v>336</v>
      </c>
      <c r="B269">
        <v>329</v>
      </c>
      <c r="C269">
        <v>31</v>
      </c>
      <c r="D269" s="2">
        <v>46050.335416666669</v>
      </c>
      <c r="E269">
        <v>299</v>
      </c>
      <c r="F269" t="s">
        <v>63</v>
      </c>
      <c r="G269" t="s">
        <v>64</v>
      </c>
      <c r="H269">
        <v>47</v>
      </c>
      <c r="I269" t="str">
        <f>IFERROR(VLOOKUP($C269,Merchants!$A$2:$D$41,2,FALSE),"Merchant not found")</f>
        <v>Merchant_031</v>
      </c>
      <c r="J269" t="str">
        <f>IFERROR(VLOOKUP($C269,Merchants!$A$2:$D$41,3,FALSE),"Merchant not found")</f>
        <v>bill_payment</v>
      </c>
      <c r="K269" t="str">
        <f>IFERROR(VLOOKUP($C269,Merchants!$A$2:$D$41,4,FALSE),"Merchant not found")</f>
        <v>East</v>
      </c>
      <c r="L269" s="3">
        <f>IFERROR(HLOOKUP(F269,Fee_Lookup!$B$1:$E$2,2,FALSE),"Method not found")</f>
        <v>7.4999999999999997E-3</v>
      </c>
      <c r="M269" s="6">
        <f t="shared" si="8"/>
        <v>2.2424999999999997</v>
      </c>
      <c r="N269" s="8">
        <f t="shared" si="9"/>
        <v>46050</v>
      </c>
    </row>
    <row r="270" spans="1:14" x14ac:dyDescent="0.4">
      <c r="A270" t="s">
        <v>337</v>
      </c>
      <c r="B270">
        <v>265</v>
      </c>
      <c r="C270">
        <v>8</v>
      </c>
      <c r="D270" s="2">
        <v>46040.15625</v>
      </c>
      <c r="E270">
        <v>499</v>
      </c>
      <c r="F270" t="s">
        <v>69</v>
      </c>
      <c r="G270" t="s">
        <v>64</v>
      </c>
      <c r="H270">
        <v>36</v>
      </c>
      <c r="I270" t="str">
        <f>IFERROR(VLOOKUP($C270,Merchants!$A$2:$D$41,2,FALSE),"Merchant not found")</f>
        <v>Merchant_008</v>
      </c>
      <c r="J270" t="str">
        <f>IFERROR(VLOOKUP($C270,Merchants!$A$2:$D$41,3,FALSE),"Merchant not found")</f>
        <v>food_delivery</v>
      </c>
      <c r="K270" t="str">
        <f>IFERROR(VLOOKUP($C270,Merchants!$A$2:$D$41,4,FALSE),"Merchant not found")</f>
        <v>North</v>
      </c>
      <c r="L270" s="3">
        <f>IFERROR(HLOOKUP(F270,Fee_Lookup!$B$1:$E$2,2,FALSE),"Method not found")</f>
        <v>0.01</v>
      </c>
      <c r="M270" s="6">
        <f t="shared" si="8"/>
        <v>4.99</v>
      </c>
      <c r="N270" s="8">
        <f t="shared" si="9"/>
        <v>46040</v>
      </c>
    </row>
    <row r="271" spans="1:14" x14ac:dyDescent="0.4">
      <c r="A271" t="s">
        <v>338</v>
      </c>
      <c r="B271">
        <v>231</v>
      </c>
      <c r="C271">
        <v>33</v>
      </c>
      <c r="D271" s="2">
        <v>46025.220138888886</v>
      </c>
      <c r="E271">
        <v>149</v>
      </c>
      <c r="F271" t="s">
        <v>66</v>
      </c>
      <c r="G271" t="s">
        <v>79</v>
      </c>
      <c r="H271">
        <v>18</v>
      </c>
      <c r="I271" t="str">
        <f>IFERROR(VLOOKUP($C271,Merchants!$A$2:$D$41,2,FALSE),"Merchant not found")</f>
        <v>Merchant_033</v>
      </c>
      <c r="J271" t="str">
        <f>IFERROR(VLOOKUP($C271,Merchants!$A$2:$D$41,3,FALSE),"Merchant not found")</f>
        <v>bill_payment</v>
      </c>
      <c r="K271" t="str">
        <f>IFERROR(VLOOKUP($C271,Merchants!$A$2:$D$41,4,FALSE),"Merchant not found")</f>
        <v>East</v>
      </c>
      <c r="L271" s="3">
        <f>IFERROR(HLOOKUP(F271,Fee_Lookup!$B$1:$E$2,2,FALSE),"Method not found")</f>
        <v>5.0000000000000001E-3</v>
      </c>
      <c r="M271" s="6">
        <f t="shared" si="8"/>
        <v>0.745</v>
      </c>
      <c r="N271" s="8">
        <f t="shared" si="9"/>
        <v>46025</v>
      </c>
    </row>
    <row r="272" spans="1:14" x14ac:dyDescent="0.4">
      <c r="A272" t="s">
        <v>339</v>
      </c>
      <c r="B272">
        <v>114</v>
      </c>
      <c r="C272">
        <v>29</v>
      </c>
      <c r="D272" s="2">
        <v>46049.545138888891</v>
      </c>
      <c r="E272">
        <v>799</v>
      </c>
      <c r="F272" t="s">
        <v>66</v>
      </c>
      <c r="G272" t="s">
        <v>92</v>
      </c>
      <c r="H272">
        <v>44</v>
      </c>
      <c r="I272" t="str">
        <f>IFERROR(VLOOKUP($C272,Merchants!$A$2:$D$41,2,FALSE),"Merchant not found")</f>
        <v>Merchant_029</v>
      </c>
      <c r="J272" t="str">
        <f>IFERROR(VLOOKUP($C272,Merchants!$A$2:$D$41,3,FALSE),"Merchant not found")</f>
        <v>ecommerce</v>
      </c>
      <c r="K272" t="str">
        <f>IFERROR(VLOOKUP($C272,Merchants!$A$2:$D$41,4,FALSE),"Merchant not found")</f>
        <v>North</v>
      </c>
      <c r="L272" s="3">
        <f>IFERROR(HLOOKUP(F272,Fee_Lookup!$B$1:$E$2,2,FALSE),"Method not found")</f>
        <v>5.0000000000000001E-3</v>
      </c>
      <c r="M272" s="6">
        <f t="shared" si="8"/>
        <v>3.9950000000000001</v>
      </c>
      <c r="N272" s="8">
        <f t="shared" si="9"/>
        <v>46049</v>
      </c>
    </row>
    <row r="273" spans="1:14" x14ac:dyDescent="0.4">
      <c r="A273" t="s">
        <v>340</v>
      </c>
      <c r="B273">
        <v>28</v>
      </c>
      <c r="C273">
        <v>26</v>
      </c>
      <c r="D273" s="2">
        <v>46052.018055555556</v>
      </c>
      <c r="E273">
        <v>1499</v>
      </c>
      <c r="F273" t="s">
        <v>66</v>
      </c>
      <c r="G273" t="s">
        <v>79</v>
      </c>
      <c r="H273">
        <v>64</v>
      </c>
      <c r="I273" t="str">
        <f>IFERROR(VLOOKUP($C273,Merchants!$A$2:$D$41,2,FALSE),"Merchant not found")</f>
        <v>Merchant_026</v>
      </c>
      <c r="J273" t="str">
        <f>IFERROR(VLOOKUP($C273,Merchants!$A$2:$D$41,3,FALSE),"Merchant not found")</f>
        <v>food_delivery</v>
      </c>
      <c r="K273" t="str">
        <f>IFERROR(VLOOKUP($C273,Merchants!$A$2:$D$41,4,FALSE),"Merchant not found")</f>
        <v>East</v>
      </c>
      <c r="L273" s="3">
        <f>IFERROR(HLOOKUP(F273,Fee_Lookup!$B$1:$E$2,2,FALSE),"Method not found")</f>
        <v>5.0000000000000001E-3</v>
      </c>
      <c r="M273" s="6">
        <f t="shared" si="8"/>
        <v>7.4950000000000001</v>
      </c>
      <c r="N273" s="8">
        <f t="shared" si="9"/>
        <v>46052</v>
      </c>
    </row>
    <row r="274" spans="1:14" x14ac:dyDescent="0.4">
      <c r="A274" t="s">
        <v>341</v>
      </c>
      <c r="B274">
        <v>42</v>
      </c>
      <c r="C274">
        <v>24</v>
      </c>
      <c r="D274" s="2">
        <v>46034.308333333334</v>
      </c>
      <c r="E274">
        <v>149</v>
      </c>
      <c r="F274" t="s">
        <v>66</v>
      </c>
      <c r="G274" t="s">
        <v>64</v>
      </c>
      <c r="H274">
        <v>28</v>
      </c>
      <c r="I274" t="str">
        <f>IFERROR(VLOOKUP($C274,Merchants!$A$2:$D$41,2,FALSE),"Merchant not found")</f>
        <v>Merchant_024</v>
      </c>
      <c r="J274" t="str">
        <f>IFERROR(VLOOKUP($C274,Merchants!$A$2:$D$41,3,FALSE),"Merchant not found")</f>
        <v>grocery</v>
      </c>
      <c r="K274" t="str">
        <f>IFERROR(VLOOKUP($C274,Merchants!$A$2:$D$41,4,FALSE),"Merchant not found")</f>
        <v>North</v>
      </c>
      <c r="L274" s="3">
        <f>IFERROR(HLOOKUP(F274,Fee_Lookup!$B$1:$E$2,2,FALSE),"Method not found")</f>
        <v>5.0000000000000001E-3</v>
      </c>
      <c r="M274" s="6">
        <f t="shared" si="8"/>
        <v>0.745</v>
      </c>
      <c r="N274" s="8">
        <f t="shared" si="9"/>
        <v>46034</v>
      </c>
    </row>
    <row r="275" spans="1:14" x14ac:dyDescent="0.4">
      <c r="A275" t="s">
        <v>342</v>
      </c>
      <c r="B275">
        <v>51</v>
      </c>
      <c r="C275">
        <v>22</v>
      </c>
      <c r="D275" s="2">
        <v>46023.457638888889</v>
      </c>
      <c r="E275">
        <v>799</v>
      </c>
      <c r="F275" t="s">
        <v>66</v>
      </c>
      <c r="G275" t="s">
        <v>64</v>
      </c>
      <c r="H275">
        <v>18</v>
      </c>
      <c r="I275" t="str">
        <f>IFERROR(VLOOKUP($C275,Merchants!$A$2:$D$41,2,FALSE),"Merchant not found")</f>
        <v>Merchant_022</v>
      </c>
      <c r="J275" t="str">
        <f>IFERROR(VLOOKUP($C275,Merchants!$A$2:$D$41,3,FALSE),"Merchant not found")</f>
        <v>travel</v>
      </c>
      <c r="K275" t="str">
        <f>IFERROR(VLOOKUP($C275,Merchants!$A$2:$D$41,4,FALSE),"Merchant not found")</f>
        <v>South</v>
      </c>
      <c r="L275" s="3">
        <f>IFERROR(HLOOKUP(F275,Fee_Lookup!$B$1:$E$2,2,FALSE),"Method not found")</f>
        <v>5.0000000000000001E-3</v>
      </c>
      <c r="M275" s="6">
        <f t="shared" si="8"/>
        <v>3.9950000000000001</v>
      </c>
      <c r="N275" s="8">
        <f t="shared" si="9"/>
        <v>46023</v>
      </c>
    </row>
    <row r="276" spans="1:14" x14ac:dyDescent="0.4">
      <c r="A276" t="s">
        <v>343</v>
      </c>
      <c r="B276">
        <v>242</v>
      </c>
      <c r="C276">
        <v>9</v>
      </c>
      <c r="D276" s="2">
        <v>46027.054166666669</v>
      </c>
      <c r="E276">
        <v>149</v>
      </c>
      <c r="F276" t="s">
        <v>66</v>
      </c>
      <c r="G276" t="s">
        <v>64</v>
      </c>
      <c r="H276">
        <v>97</v>
      </c>
      <c r="I276" t="str">
        <f>IFERROR(VLOOKUP($C276,Merchants!$A$2:$D$41,2,FALSE),"Merchant not found")</f>
        <v>Merchant_009</v>
      </c>
      <c r="J276" t="str">
        <f>IFERROR(VLOOKUP($C276,Merchants!$A$2:$D$41,3,FALSE),"Merchant not found")</f>
        <v>ecommerce</v>
      </c>
      <c r="K276" t="str">
        <f>IFERROR(VLOOKUP($C276,Merchants!$A$2:$D$41,4,FALSE),"Merchant not found")</f>
        <v>North</v>
      </c>
      <c r="L276" s="3">
        <f>IFERROR(HLOOKUP(F276,Fee_Lookup!$B$1:$E$2,2,FALSE),"Method not found")</f>
        <v>5.0000000000000001E-3</v>
      </c>
      <c r="M276" s="6">
        <f t="shared" si="8"/>
        <v>0.745</v>
      </c>
      <c r="N276" s="8">
        <f t="shared" si="9"/>
        <v>46027</v>
      </c>
    </row>
    <row r="277" spans="1:14" x14ac:dyDescent="0.4">
      <c r="A277" t="s">
        <v>344</v>
      </c>
      <c r="B277">
        <v>316</v>
      </c>
      <c r="C277">
        <v>1</v>
      </c>
      <c r="D277" s="2">
        <v>46045.644444444442</v>
      </c>
      <c r="E277">
        <v>149</v>
      </c>
      <c r="F277" t="s">
        <v>66</v>
      </c>
      <c r="G277" t="s">
        <v>64</v>
      </c>
      <c r="H277">
        <v>10</v>
      </c>
      <c r="I277" t="str">
        <f>IFERROR(VLOOKUP($C277,Merchants!$A$2:$D$41,2,FALSE),"Merchant not found")</f>
        <v>Merchant_001</v>
      </c>
      <c r="J277" t="str">
        <f>IFERROR(VLOOKUP($C277,Merchants!$A$2:$D$41,3,FALSE),"Merchant not found")</f>
        <v>ecommerce</v>
      </c>
      <c r="K277" t="str">
        <f>IFERROR(VLOOKUP($C277,Merchants!$A$2:$D$41,4,FALSE),"Merchant not found")</f>
        <v>South</v>
      </c>
      <c r="L277" s="3">
        <f>IFERROR(HLOOKUP(F277,Fee_Lookup!$B$1:$E$2,2,FALSE),"Method not found")</f>
        <v>5.0000000000000001E-3</v>
      </c>
      <c r="M277" s="6">
        <f t="shared" si="8"/>
        <v>0.745</v>
      </c>
      <c r="N277" s="8">
        <f t="shared" si="9"/>
        <v>46045</v>
      </c>
    </row>
    <row r="278" spans="1:14" x14ac:dyDescent="0.4">
      <c r="A278" t="s">
        <v>345</v>
      </c>
      <c r="B278">
        <v>77</v>
      </c>
      <c r="C278">
        <v>36</v>
      </c>
      <c r="D278" s="2">
        <v>46023.342361111114</v>
      </c>
      <c r="E278">
        <v>149</v>
      </c>
      <c r="F278" t="s">
        <v>66</v>
      </c>
      <c r="G278" t="s">
        <v>64</v>
      </c>
      <c r="H278">
        <v>93</v>
      </c>
      <c r="I278" t="str">
        <f>IFERROR(VLOOKUP($C278,Merchants!$A$2:$D$41,2,FALSE),"Merchant not found")</f>
        <v>Merchant_036</v>
      </c>
      <c r="J278" t="str">
        <f>IFERROR(VLOOKUP($C278,Merchants!$A$2:$D$41,3,FALSE),"Merchant not found")</f>
        <v>entertainment</v>
      </c>
      <c r="K278" t="str">
        <f>IFERROR(VLOOKUP($C278,Merchants!$A$2:$D$41,4,FALSE),"Merchant not found")</f>
        <v>East</v>
      </c>
      <c r="L278" s="3">
        <f>IFERROR(HLOOKUP(F278,Fee_Lookup!$B$1:$E$2,2,FALSE),"Method not found")</f>
        <v>5.0000000000000001E-3</v>
      </c>
      <c r="M278" s="6">
        <f t="shared" si="8"/>
        <v>0.745</v>
      </c>
      <c r="N278" s="8">
        <f t="shared" si="9"/>
        <v>46023</v>
      </c>
    </row>
    <row r="279" spans="1:14" x14ac:dyDescent="0.4">
      <c r="A279" t="s">
        <v>346</v>
      </c>
      <c r="B279">
        <v>57</v>
      </c>
      <c r="C279">
        <v>19</v>
      </c>
      <c r="D279" s="2">
        <v>46042.685416666667</v>
      </c>
      <c r="E279">
        <v>49</v>
      </c>
      <c r="F279" t="s">
        <v>66</v>
      </c>
      <c r="G279" t="s">
        <v>64</v>
      </c>
      <c r="H279">
        <v>30</v>
      </c>
      <c r="I279" t="str">
        <f>IFERROR(VLOOKUP($C279,Merchants!$A$2:$D$41,2,FALSE),"Merchant not found")</f>
        <v>Merchant_019</v>
      </c>
      <c r="J279" t="str">
        <f>IFERROR(VLOOKUP($C279,Merchants!$A$2:$D$41,3,FALSE),"Merchant not found")</f>
        <v>grocery</v>
      </c>
      <c r="K279" t="str">
        <f>IFERROR(VLOOKUP($C279,Merchants!$A$2:$D$41,4,FALSE),"Merchant not found")</f>
        <v>North</v>
      </c>
      <c r="L279" s="3">
        <f>IFERROR(HLOOKUP(F279,Fee_Lookup!$B$1:$E$2,2,FALSE),"Method not found")</f>
        <v>5.0000000000000001E-3</v>
      </c>
      <c r="M279" s="6">
        <f t="shared" si="8"/>
        <v>0.245</v>
      </c>
      <c r="N279" s="8">
        <f t="shared" si="9"/>
        <v>46042</v>
      </c>
    </row>
    <row r="280" spans="1:14" x14ac:dyDescent="0.4">
      <c r="A280" t="s">
        <v>347</v>
      </c>
      <c r="B280">
        <v>123</v>
      </c>
      <c r="C280">
        <v>27</v>
      </c>
      <c r="D280" s="2">
        <v>46032.127083333333</v>
      </c>
      <c r="E280">
        <v>149</v>
      </c>
      <c r="F280" t="s">
        <v>69</v>
      </c>
      <c r="G280" t="s">
        <v>64</v>
      </c>
      <c r="H280">
        <v>81</v>
      </c>
      <c r="I280" t="str">
        <f>IFERROR(VLOOKUP($C280,Merchants!$A$2:$D$41,2,FALSE),"Merchant not found")</f>
        <v>Merchant_027</v>
      </c>
      <c r="J280" t="str">
        <f>IFERROR(VLOOKUP($C280,Merchants!$A$2:$D$41,3,FALSE),"Merchant not found")</f>
        <v>ecommerce</v>
      </c>
      <c r="K280" t="str">
        <f>IFERROR(VLOOKUP($C280,Merchants!$A$2:$D$41,4,FALSE),"Merchant not found")</f>
        <v>North</v>
      </c>
      <c r="L280" s="3">
        <f>IFERROR(HLOOKUP(F280,Fee_Lookup!$B$1:$E$2,2,FALSE),"Method not found")</f>
        <v>0.01</v>
      </c>
      <c r="M280" s="6">
        <f t="shared" si="8"/>
        <v>1.49</v>
      </c>
      <c r="N280" s="8">
        <f t="shared" si="9"/>
        <v>46032</v>
      </c>
    </row>
    <row r="281" spans="1:14" x14ac:dyDescent="0.4">
      <c r="A281" t="s">
        <v>348</v>
      </c>
      <c r="B281">
        <v>33</v>
      </c>
      <c r="C281">
        <v>8</v>
      </c>
      <c r="D281" s="2">
        <v>46048.811805555553</v>
      </c>
      <c r="E281">
        <v>299</v>
      </c>
      <c r="F281" t="s">
        <v>63</v>
      </c>
      <c r="G281" t="s">
        <v>64</v>
      </c>
      <c r="H281">
        <v>63</v>
      </c>
      <c r="I281" t="str">
        <f>IFERROR(VLOOKUP($C281,Merchants!$A$2:$D$41,2,FALSE),"Merchant not found")</f>
        <v>Merchant_008</v>
      </c>
      <c r="J281" t="str">
        <f>IFERROR(VLOOKUP($C281,Merchants!$A$2:$D$41,3,FALSE),"Merchant not found")</f>
        <v>food_delivery</v>
      </c>
      <c r="K281" t="str">
        <f>IFERROR(VLOOKUP($C281,Merchants!$A$2:$D$41,4,FALSE),"Merchant not found")</f>
        <v>North</v>
      </c>
      <c r="L281" s="3">
        <f>IFERROR(HLOOKUP(F281,Fee_Lookup!$B$1:$E$2,2,FALSE),"Method not found")</f>
        <v>7.4999999999999997E-3</v>
      </c>
      <c r="M281" s="6">
        <f t="shared" si="8"/>
        <v>2.2424999999999997</v>
      </c>
      <c r="N281" s="8">
        <f t="shared" si="9"/>
        <v>46048</v>
      </c>
    </row>
    <row r="282" spans="1:14" x14ac:dyDescent="0.4">
      <c r="A282" t="s">
        <v>349</v>
      </c>
      <c r="B282">
        <v>324</v>
      </c>
      <c r="C282">
        <v>33</v>
      </c>
      <c r="D282" s="2">
        <v>46042.709027777775</v>
      </c>
      <c r="E282">
        <v>499</v>
      </c>
      <c r="F282" t="s">
        <v>66</v>
      </c>
      <c r="G282" t="s">
        <v>64</v>
      </c>
      <c r="H282">
        <v>73</v>
      </c>
      <c r="I282" t="str">
        <f>IFERROR(VLOOKUP($C282,Merchants!$A$2:$D$41,2,FALSE),"Merchant not found")</f>
        <v>Merchant_033</v>
      </c>
      <c r="J282" t="str">
        <f>IFERROR(VLOOKUP($C282,Merchants!$A$2:$D$41,3,FALSE),"Merchant not found")</f>
        <v>bill_payment</v>
      </c>
      <c r="K282" t="str">
        <f>IFERROR(VLOOKUP($C282,Merchants!$A$2:$D$41,4,FALSE),"Merchant not found")</f>
        <v>East</v>
      </c>
      <c r="L282" s="3">
        <f>IFERROR(HLOOKUP(F282,Fee_Lookup!$B$1:$E$2,2,FALSE),"Method not found")</f>
        <v>5.0000000000000001E-3</v>
      </c>
      <c r="M282" s="6">
        <f t="shared" si="8"/>
        <v>2.4950000000000001</v>
      </c>
      <c r="N282" s="8">
        <f t="shared" si="9"/>
        <v>46042</v>
      </c>
    </row>
    <row r="283" spans="1:14" x14ac:dyDescent="0.4">
      <c r="A283" t="s">
        <v>350</v>
      </c>
      <c r="B283">
        <v>150</v>
      </c>
      <c r="C283">
        <v>28</v>
      </c>
      <c r="D283" s="2">
        <v>46030.92291666667</v>
      </c>
      <c r="E283">
        <v>49</v>
      </c>
      <c r="F283" t="s">
        <v>66</v>
      </c>
      <c r="G283" t="s">
        <v>79</v>
      </c>
      <c r="H283">
        <v>0</v>
      </c>
      <c r="I283" t="str">
        <f>IFERROR(VLOOKUP($C283,Merchants!$A$2:$D$41,2,FALSE),"Merchant not found")</f>
        <v>Merchant_028</v>
      </c>
      <c r="J283" t="str">
        <f>IFERROR(VLOOKUP($C283,Merchants!$A$2:$D$41,3,FALSE),"Merchant not found")</f>
        <v>ecommerce</v>
      </c>
      <c r="K283" t="str">
        <f>IFERROR(VLOOKUP($C283,Merchants!$A$2:$D$41,4,FALSE),"Merchant not found")</f>
        <v>South</v>
      </c>
      <c r="L283" s="3">
        <f>IFERROR(HLOOKUP(F283,Fee_Lookup!$B$1:$E$2,2,FALSE),"Method not found")</f>
        <v>5.0000000000000001E-3</v>
      </c>
      <c r="M283" s="6">
        <f t="shared" si="8"/>
        <v>0.245</v>
      </c>
      <c r="N283" s="8">
        <f t="shared" si="9"/>
        <v>46030</v>
      </c>
    </row>
    <row r="284" spans="1:14" x14ac:dyDescent="0.4">
      <c r="A284" t="s">
        <v>351</v>
      </c>
      <c r="B284">
        <v>293</v>
      </c>
      <c r="C284">
        <v>27</v>
      </c>
      <c r="D284" s="2">
        <v>46042.46875</v>
      </c>
      <c r="E284">
        <v>4999</v>
      </c>
      <c r="F284" t="s">
        <v>66</v>
      </c>
      <c r="G284" t="s">
        <v>64</v>
      </c>
      <c r="H284">
        <v>23</v>
      </c>
      <c r="I284" t="str">
        <f>IFERROR(VLOOKUP($C284,Merchants!$A$2:$D$41,2,FALSE),"Merchant not found")</f>
        <v>Merchant_027</v>
      </c>
      <c r="J284" t="str">
        <f>IFERROR(VLOOKUP($C284,Merchants!$A$2:$D$41,3,FALSE),"Merchant not found")</f>
        <v>ecommerce</v>
      </c>
      <c r="K284" t="str">
        <f>IFERROR(VLOOKUP($C284,Merchants!$A$2:$D$41,4,FALSE),"Merchant not found")</f>
        <v>North</v>
      </c>
      <c r="L284" s="3">
        <f>IFERROR(HLOOKUP(F284,Fee_Lookup!$B$1:$E$2,2,FALSE),"Method not found")</f>
        <v>5.0000000000000001E-3</v>
      </c>
      <c r="M284" s="6">
        <f t="shared" si="8"/>
        <v>24.995000000000001</v>
      </c>
      <c r="N284" s="8">
        <f t="shared" si="9"/>
        <v>46042</v>
      </c>
    </row>
    <row r="285" spans="1:14" x14ac:dyDescent="0.4">
      <c r="A285" t="s">
        <v>352</v>
      </c>
      <c r="B285">
        <v>269</v>
      </c>
      <c r="C285">
        <v>24</v>
      </c>
      <c r="D285" s="2">
        <v>46044.878472222219</v>
      </c>
      <c r="E285">
        <v>49</v>
      </c>
      <c r="F285" t="s">
        <v>63</v>
      </c>
      <c r="G285" t="s">
        <v>64</v>
      </c>
      <c r="H285">
        <v>8</v>
      </c>
      <c r="I285" t="str">
        <f>IFERROR(VLOOKUP($C285,Merchants!$A$2:$D$41,2,FALSE),"Merchant not found")</f>
        <v>Merchant_024</v>
      </c>
      <c r="J285" t="str">
        <f>IFERROR(VLOOKUP($C285,Merchants!$A$2:$D$41,3,FALSE),"Merchant not found")</f>
        <v>grocery</v>
      </c>
      <c r="K285" t="str">
        <f>IFERROR(VLOOKUP($C285,Merchants!$A$2:$D$41,4,FALSE),"Merchant not found")</f>
        <v>North</v>
      </c>
      <c r="L285" s="3">
        <f>IFERROR(HLOOKUP(F285,Fee_Lookup!$B$1:$E$2,2,FALSE),"Method not found")</f>
        <v>7.4999999999999997E-3</v>
      </c>
      <c r="M285" s="6">
        <f t="shared" si="8"/>
        <v>0.36749999999999999</v>
      </c>
      <c r="N285" s="8">
        <f t="shared" si="9"/>
        <v>46044</v>
      </c>
    </row>
    <row r="286" spans="1:14" x14ac:dyDescent="0.4">
      <c r="A286" t="s">
        <v>353</v>
      </c>
      <c r="B286">
        <v>260</v>
      </c>
      <c r="C286">
        <v>36</v>
      </c>
      <c r="D286" s="2">
        <v>46039.730555555558</v>
      </c>
      <c r="E286">
        <v>1499</v>
      </c>
      <c r="F286" t="s">
        <v>66</v>
      </c>
      <c r="G286" t="s">
        <v>64</v>
      </c>
      <c r="H286">
        <v>2</v>
      </c>
      <c r="I286" t="str">
        <f>IFERROR(VLOOKUP($C286,Merchants!$A$2:$D$41,2,FALSE),"Merchant not found")</f>
        <v>Merchant_036</v>
      </c>
      <c r="J286" t="str">
        <f>IFERROR(VLOOKUP($C286,Merchants!$A$2:$D$41,3,FALSE),"Merchant not found")</f>
        <v>entertainment</v>
      </c>
      <c r="K286" t="str">
        <f>IFERROR(VLOOKUP($C286,Merchants!$A$2:$D$41,4,FALSE),"Merchant not found")</f>
        <v>East</v>
      </c>
      <c r="L286" s="3">
        <f>IFERROR(HLOOKUP(F286,Fee_Lookup!$B$1:$E$2,2,FALSE),"Method not found")</f>
        <v>5.0000000000000001E-3</v>
      </c>
      <c r="M286" s="6">
        <f t="shared" si="8"/>
        <v>7.4950000000000001</v>
      </c>
      <c r="N286" s="8">
        <f t="shared" si="9"/>
        <v>46039</v>
      </c>
    </row>
    <row r="287" spans="1:14" x14ac:dyDescent="0.4">
      <c r="A287" t="s">
        <v>354</v>
      </c>
      <c r="B287">
        <v>326</v>
      </c>
      <c r="C287">
        <v>25</v>
      </c>
      <c r="D287" s="2">
        <v>46035.626388888886</v>
      </c>
      <c r="E287">
        <v>49</v>
      </c>
      <c r="F287" t="s">
        <v>66</v>
      </c>
      <c r="G287" t="s">
        <v>64</v>
      </c>
      <c r="H287">
        <v>47</v>
      </c>
      <c r="I287" t="str">
        <f>IFERROR(VLOOKUP($C287,Merchants!$A$2:$D$41,2,FALSE),"Merchant not found")</f>
        <v>Merchant_025</v>
      </c>
      <c r="J287" t="str">
        <f>IFERROR(VLOOKUP($C287,Merchants!$A$2:$D$41,3,FALSE),"Merchant not found")</f>
        <v>travel</v>
      </c>
      <c r="K287" t="str">
        <f>IFERROR(VLOOKUP($C287,Merchants!$A$2:$D$41,4,FALSE),"Merchant not found")</f>
        <v>South</v>
      </c>
      <c r="L287" s="3">
        <f>IFERROR(HLOOKUP(F287,Fee_Lookup!$B$1:$E$2,2,FALSE),"Method not found")</f>
        <v>5.0000000000000001E-3</v>
      </c>
      <c r="M287" s="6">
        <f t="shared" si="8"/>
        <v>0.245</v>
      </c>
      <c r="N287" s="8">
        <f t="shared" si="9"/>
        <v>46035</v>
      </c>
    </row>
    <row r="288" spans="1:14" x14ac:dyDescent="0.4">
      <c r="A288" t="s">
        <v>355</v>
      </c>
      <c r="B288">
        <v>183</v>
      </c>
      <c r="C288">
        <v>5</v>
      </c>
      <c r="D288" s="2">
        <v>46031.959027777775</v>
      </c>
      <c r="E288">
        <v>49</v>
      </c>
      <c r="F288" t="s">
        <v>78</v>
      </c>
      <c r="G288" t="s">
        <v>64</v>
      </c>
      <c r="H288">
        <v>44</v>
      </c>
      <c r="I288" t="str">
        <f>IFERROR(VLOOKUP($C288,Merchants!$A$2:$D$41,2,FALSE),"Merchant not found")</f>
        <v>Merchant_005</v>
      </c>
      <c r="J288" t="str">
        <f>IFERROR(VLOOKUP($C288,Merchants!$A$2:$D$41,3,FALSE),"Merchant not found")</f>
        <v>recharge</v>
      </c>
      <c r="K288" t="str">
        <f>IFERROR(VLOOKUP($C288,Merchants!$A$2:$D$41,4,FALSE),"Merchant not found")</f>
        <v>South</v>
      </c>
      <c r="L288" s="3">
        <f>IFERROR(HLOOKUP(F288,Fee_Lookup!$B$1:$E$2,2,FALSE),"Method not found")</f>
        <v>1.2E-2</v>
      </c>
      <c r="M288" s="6">
        <f t="shared" si="8"/>
        <v>0.58799999999999997</v>
      </c>
      <c r="N288" s="8">
        <f t="shared" si="9"/>
        <v>46031</v>
      </c>
    </row>
    <row r="289" spans="1:14" x14ac:dyDescent="0.4">
      <c r="A289" t="s">
        <v>356</v>
      </c>
      <c r="B289">
        <v>322</v>
      </c>
      <c r="C289">
        <v>7</v>
      </c>
      <c r="D289" s="2">
        <v>46030.987500000003</v>
      </c>
      <c r="E289">
        <v>299</v>
      </c>
      <c r="F289" t="s">
        <v>66</v>
      </c>
      <c r="G289" t="s">
        <v>64</v>
      </c>
      <c r="H289">
        <v>98</v>
      </c>
      <c r="I289" t="str">
        <f>IFERROR(VLOOKUP($C289,Merchants!$A$2:$D$41,2,FALSE),"Merchant not found")</f>
        <v>Merchant_007</v>
      </c>
      <c r="J289" t="str">
        <f>IFERROR(VLOOKUP($C289,Merchants!$A$2:$D$41,3,FALSE),"Merchant not found")</f>
        <v>food_delivery</v>
      </c>
      <c r="K289" t="str">
        <f>IFERROR(VLOOKUP($C289,Merchants!$A$2:$D$41,4,FALSE),"Merchant not found")</f>
        <v>East</v>
      </c>
      <c r="L289" s="3">
        <f>IFERROR(HLOOKUP(F289,Fee_Lookup!$B$1:$E$2,2,FALSE),"Method not found")</f>
        <v>5.0000000000000001E-3</v>
      </c>
      <c r="M289" s="6">
        <f t="shared" si="8"/>
        <v>1.4950000000000001</v>
      </c>
      <c r="N289" s="8">
        <f t="shared" si="9"/>
        <v>46030</v>
      </c>
    </row>
    <row r="290" spans="1:14" x14ac:dyDescent="0.4">
      <c r="A290" t="s">
        <v>357</v>
      </c>
      <c r="B290">
        <v>171</v>
      </c>
      <c r="C290">
        <v>9</v>
      </c>
      <c r="D290" s="2">
        <v>46041.991666666669</v>
      </c>
      <c r="E290">
        <v>299</v>
      </c>
      <c r="F290" t="s">
        <v>66</v>
      </c>
      <c r="G290" t="s">
        <v>64</v>
      </c>
      <c r="H290">
        <v>5</v>
      </c>
      <c r="I290" t="str">
        <f>IFERROR(VLOOKUP($C290,Merchants!$A$2:$D$41,2,FALSE),"Merchant not found")</f>
        <v>Merchant_009</v>
      </c>
      <c r="J290" t="str">
        <f>IFERROR(VLOOKUP($C290,Merchants!$A$2:$D$41,3,FALSE),"Merchant not found")</f>
        <v>ecommerce</v>
      </c>
      <c r="K290" t="str">
        <f>IFERROR(VLOOKUP($C290,Merchants!$A$2:$D$41,4,FALSE),"Merchant not found")</f>
        <v>North</v>
      </c>
      <c r="L290" s="3">
        <f>IFERROR(HLOOKUP(F290,Fee_Lookup!$B$1:$E$2,2,FALSE),"Method not found")</f>
        <v>5.0000000000000001E-3</v>
      </c>
      <c r="M290" s="6">
        <f t="shared" si="8"/>
        <v>1.4950000000000001</v>
      </c>
      <c r="N290" s="8">
        <f t="shared" si="9"/>
        <v>46041</v>
      </c>
    </row>
    <row r="291" spans="1:14" x14ac:dyDescent="0.4">
      <c r="A291" t="s">
        <v>358</v>
      </c>
      <c r="B291">
        <v>330</v>
      </c>
      <c r="C291">
        <v>12</v>
      </c>
      <c r="D291" s="2">
        <v>46034.722916666666</v>
      </c>
      <c r="E291">
        <v>1499</v>
      </c>
      <c r="F291" t="s">
        <v>69</v>
      </c>
      <c r="G291" t="s">
        <v>64</v>
      </c>
      <c r="H291">
        <v>99</v>
      </c>
      <c r="I291" t="str">
        <f>IFERROR(VLOOKUP($C291,Merchants!$A$2:$D$41,2,FALSE),"Merchant not found")</f>
        <v>Merchant_012</v>
      </c>
      <c r="J291" t="str">
        <f>IFERROR(VLOOKUP($C291,Merchants!$A$2:$D$41,3,FALSE),"Merchant not found")</f>
        <v>ecommerce</v>
      </c>
      <c r="K291" t="str">
        <f>IFERROR(VLOOKUP($C291,Merchants!$A$2:$D$41,4,FALSE),"Merchant not found")</f>
        <v>East</v>
      </c>
      <c r="L291" s="3">
        <f>IFERROR(HLOOKUP(F291,Fee_Lookup!$B$1:$E$2,2,FALSE),"Method not found")</f>
        <v>0.01</v>
      </c>
      <c r="M291" s="6">
        <f t="shared" si="8"/>
        <v>14.99</v>
      </c>
      <c r="N291" s="8">
        <f t="shared" si="9"/>
        <v>46034</v>
      </c>
    </row>
    <row r="292" spans="1:14" x14ac:dyDescent="0.4">
      <c r="A292" t="s">
        <v>359</v>
      </c>
      <c r="B292">
        <v>246</v>
      </c>
      <c r="C292">
        <v>12</v>
      </c>
      <c r="D292" s="2">
        <v>46044.613888888889</v>
      </c>
      <c r="E292">
        <v>99</v>
      </c>
      <c r="F292" t="s">
        <v>63</v>
      </c>
      <c r="G292" t="s">
        <v>64</v>
      </c>
      <c r="H292">
        <v>17</v>
      </c>
      <c r="I292" t="str">
        <f>IFERROR(VLOOKUP($C292,Merchants!$A$2:$D$41,2,FALSE),"Merchant not found")</f>
        <v>Merchant_012</v>
      </c>
      <c r="J292" t="str">
        <f>IFERROR(VLOOKUP($C292,Merchants!$A$2:$D$41,3,FALSE),"Merchant not found")</f>
        <v>ecommerce</v>
      </c>
      <c r="K292" t="str">
        <f>IFERROR(VLOOKUP($C292,Merchants!$A$2:$D$41,4,FALSE),"Merchant not found")</f>
        <v>East</v>
      </c>
      <c r="L292" s="3">
        <f>IFERROR(HLOOKUP(F292,Fee_Lookup!$B$1:$E$2,2,FALSE),"Method not found")</f>
        <v>7.4999999999999997E-3</v>
      </c>
      <c r="M292" s="6">
        <f t="shared" si="8"/>
        <v>0.74249999999999994</v>
      </c>
      <c r="N292" s="8">
        <f t="shared" si="9"/>
        <v>46044</v>
      </c>
    </row>
    <row r="293" spans="1:14" x14ac:dyDescent="0.4">
      <c r="A293" t="s">
        <v>360</v>
      </c>
      <c r="B293">
        <v>235</v>
      </c>
      <c r="C293">
        <v>3</v>
      </c>
      <c r="D293" s="2">
        <v>46025.950694444444</v>
      </c>
      <c r="E293">
        <v>49</v>
      </c>
      <c r="F293" t="s">
        <v>66</v>
      </c>
      <c r="G293" t="s">
        <v>64</v>
      </c>
      <c r="H293">
        <v>37</v>
      </c>
      <c r="I293" t="str">
        <f>IFERROR(VLOOKUP($C293,Merchants!$A$2:$D$41,2,FALSE),"Merchant not found")</f>
        <v>Merchant_003</v>
      </c>
      <c r="J293" t="str">
        <f>IFERROR(VLOOKUP($C293,Merchants!$A$2:$D$41,3,FALSE),"Merchant not found")</f>
        <v>grocery</v>
      </c>
      <c r="K293" t="str">
        <f>IFERROR(VLOOKUP($C293,Merchants!$A$2:$D$41,4,FALSE),"Merchant not found")</f>
        <v>East</v>
      </c>
      <c r="L293" s="3">
        <f>IFERROR(HLOOKUP(F293,Fee_Lookup!$B$1:$E$2,2,FALSE),"Method not found")</f>
        <v>5.0000000000000001E-3</v>
      </c>
      <c r="M293" s="6">
        <f t="shared" si="8"/>
        <v>0.245</v>
      </c>
      <c r="N293" s="8">
        <f t="shared" si="9"/>
        <v>46025</v>
      </c>
    </row>
    <row r="294" spans="1:14" x14ac:dyDescent="0.4">
      <c r="A294" t="s">
        <v>361</v>
      </c>
      <c r="B294">
        <v>103</v>
      </c>
      <c r="C294">
        <v>3</v>
      </c>
      <c r="D294" s="2">
        <v>46029.076388888891</v>
      </c>
      <c r="E294">
        <v>499</v>
      </c>
      <c r="F294" t="s">
        <v>66</v>
      </c>
      <c r="G294" t="s">
        <v>64</v>
      </c>
      <c r="H294">
        <v>40</v>
      </c>
      <c r="I294" t="str">
        <f>IFERROR(VLOOKUP($C294,Merchants!$A$2:$D$41,2,FALSE),"Merchant not found")</f>
        <v>Merchant_003</v>
      </c>
      <c r="J294" t="str">
        <f>IFERROR(VLOOKUP($C294,Merchants!$A$2:$D$41,3,FALSE),"Merchant not found")</f>
        <v>grocery</v>
      </c>
      <c r="K294" t="str">
        <f>IFERROR(VLOOKUP($C294,Merchants!$A$2:$D$41,4,FALSE),"Merchant not found")</f>
        <v>East</v>
      </c>
      <c r="L294" s="3">
        <f>IFERROR(HLOOKUP(F294,Fee_Lookup!$B$1:$E$2,2,FALSE),"Method not found")</f>
        <v>5.0000000000000001E-3</v>
      </c>
      <c r="M294" s="6">
        <f t="shared" si="8"/>
        <v>2.4950000000000001</v>
      </c>
      <c r="N294" s="8">
        <f t="shared" si="9"/>
        <v>46029</v>
      </c>
    </row>
    <row r="295" spans="1:14" x14ac:dyDescent="0.4">
      <c r="A295" t="s">
        <v>362</v>
      </c>
      <c r="B295">
        <v>204</v>
      </c>
      <c r="C295">
        <v>35</v>
      </c>
      <c r="D295" s="2">
        <v>46052.397222222222</v>
      </c>
      <c r="E295">
        <v>99</v>
      </c>
      <c r="F295" t="s">
        <v>63</v>
      </c>
      <c r="G295" t="s">
        <v>64</v>
      </c>
      <c r="H295">
        <v>60</v>
      </c>
      <c r="I295" t="str">
        <f>IFERROR(VLOOKUP($C295,Merchants!$A$2:$D$41,2,FALSE),"Merchant not found")</f>
        <v>Merchant_035</v>
      </c>
      <c r="J295" t="str">
        <f>IFERROR(VLOOKUP($C295,Merchants!$A$2:$D$41,3,FALSE),"Merchant not found")</f>
        <v>recharge</v>
      </c>
      <c r="K295" t="str">
        <f>IFERROR(VLOOKUP($C295,Merchants!$A$2:$D$41,4,FALSE),"Merchant not found")</f>
        <v>East</v>
      </c>
      <c r="L295" s="3">
        <f>IFERROR(HLOOKUP(F295,Fee_Lookup!$B$1:$E$2,2,FALSE),"Method not found")</f>
        <v>7.4999999999999997E-3</v>
      </c>
      <c r="M295" s="6">
        <f t="shared" si="8"/>
        <v>0.74249999999999994</v>
      </c>
      <c r="N295" s="8">
        <f t="shared" si="9"/>
        <v>46052</v>
      </c>
    </row>
    <row r="296" spans="1:14" x14ac:dyDescent="0.4">
      <c r="A296" t="s">
        <v>363</v>
      </c>
      <c r="B296">
        <v>332</v>
      </c>
      <c r="C296">
        <v>13</v>
      </c>
      <c r="D296" s="2">
        <v>46031.074999999997</v>
      </c>
      <c r="E296">
        <v>49</v>
      </c>
      <c r="F296" t="s">
        <v>78</v>
      </c>
      <c r="G296" t="s">
        <v>64</v>
      </c>
      <c r="H296">
        <v>36</v>
      </c>
      <c r="I296" t="str">
        <f>IFERROR(VLOOKUP($C296,Merchants!$A$2:$D$41,2,FALSE),"Merchant not found")</f>
        <v>Merchant_013</v>
      </c>
      <c r="J296" t="str">
        <f>IFERROR(VLOOKUP($C296,Merchants!$A$2:$D$41,3,FALSE),"Merchant not found")</f>
        <v>travel</v>
      </c>
      <c r="K296" t="str">
        <f>IFERROR(VLOOKUP($C296,Merchants!$A$2:$D$41,4,FALSE),"Merchant not found")</f>
        <v>East</v>
      </c>
      <c r="L296" s="3">
        <f>IFERROR(HLOOKUP(F296,Fee_Lookup!$B$1:$E$2,2,FALSE),"Method not found")</f>
        <v>1.2E-2</v>
      </c>
      <c r="M296" s="6">
        <f t="shared" si="8"/>
        <v>0.58799999999999997</v>
      </c>
      <c r="N296" s="8">
        <f t="shared" si="9"/>
        <v>46031</v>
      </c>
    </row>
    <row r="297" spans="1:14" x14ac:dyDescent="0.4">
      <c r="A297" t="s">
        <v>364</v>
      </c>
      <c r="B297">
        <v>336</v>
      </c>
      <c r="C297">
        <v>22</v>
      </c>
      <c r="D297" s="2">
        <v>46034.079861111109</v>
      </c>
      <c r="E297">
        <v>499</v>
      </c>
      <c r="F297" t="s">
        <v>66</v>
      </c>
      <c r="G297" t="s">
        <v>64</v>
      </c>
      <c r="H297">
        <v>34</v>
      </c>
      <c r="I297" t="str">
        <f>IFERROR(VLOOKUP($C297,Merchants!$A$2:$D$41,2,FALSE),"Merchant not found")</f>
        <v>Merchant_022</v>
      </c>
      <c r="J297" t="str">
        <f>IFERROR(VLOOKUP($C297,Merchants!$A$2:$D$41,3,FALSE),"Merchant not found")</f>
        <v>travel</v>
      </c>
      <c r="K297" t="str">
        <f>IFERROR(VLOOKUP($C297,Merchants!$A$2:$D$41,4,FALSE),"Merchant not found")</f>
        <v>South</v>
      </c>
      <c r="L297" s="3">
        <f>IFERROR(HLOOKUP(F297,Fee_Lookup!$B$1:$E$2,2,FALSE),"Method not found")</f>
        <v>5.0000000000000001E-3</v>
      </c>
      <c r="M297" s="6">
        <f t="shared" si="8"/>
        <v>2.4950000000000001</v>
      </c>
      <c r="N297" s="8">
        <f t="shared" si="9"/>
        <v>46034</v>
      </c>
    </row>
    <row r="298" spans="1:14" x14ac:dyDescent="0.4">
      <c r="A298" t="s">
        <v>365</v>
      </c>
      <c r="B298">
        <v>205</v>
      </c>
      <c r="C298">
        <v>29</v>
      </c>
      <c r="D298" s="2">
        <v>46026.477083333331</v>
      </c>
      <c r="E298">
        <v>99</v>
      </c>
      <c r="F298" t="s">
        <v>63</v>
      </c>
      <c r="G298" t="s">
        <v>64</v>
      </c>
      <c r="H298">
        <v>49</v>
      </c>
      <c r="I298" t="str">
        <f>IFERROR(VLOOKUP($C298,Merchants!$A$2:$D$41,2,FALSE),"Merchant not found")</f>
        <v>Merchant_029</v>
      </c>
      <c r="J298" t="str">
        <f>IFERROR(VLOOKUP($C298,Merchants!$A$2:$D$41,3,FALSE),"Merchant not found")</f>
        <v>ecommerce</v>
      </c>
      <c r="K298" t="str">
        <f>IFERROR(VLOOKUP($C298,Merchants!$A$2:$D$41,4,FALSE),"Merchant not found")</f>
        <v>North</v>
      </c>
      <c r="L298" s="3">
        <f>IFERROR(HLOOKUP(F298,Fee_Lookup!$B$1:$E$2,2,FALSE),"Method not found")</f>
        <v>7.4999999999999997E-3</v>
      </c>
      <c r="M298" s="6">
        <f t="shared" si="8"/>
        <v>0.74249999999999994</v>
      </c>
      <c r="N298" s="8">
        <f t="shared" si="9"/>
        <v>46026</v>
      </c>
    </row>
    <row r="299" spans="1:14" x14ac:dyDescent="0.4">
      <c r="A299" t="s">
        <v>366</v>
      </c>
      <c r="B299">
        <v>255</v>
      </c>
      <c r="C299">
        <v>24</v>
      </c>
      <c r="D299" s="2">
        <v>46033.229861111111</v>
      </c>
      <c r="E299">
        <v>799</v>
      </c>
      <c r="F299" t="s">
        <v>66</v>
      </c>
      <c r="G299" t="s">
        <v>64</v>
      </c>
      <c r="H299">
        <v>66</v>
      </c>
      <c r="I299" t="str">
        <f>IFERROR(VLOOKUP($C299,Merchants!$A$2:$D$41,2,FALSE),"Merchant not found")</f>
        <v>Merchant_024</v>
      </c>
      <c r="J299" t="str">
        <f>IFERROR(VLOOKUP($C299,Merchants!$A$2:$D$41,3,FALSE),"Merchant not found")</f>
        <v>grocery</v>
      </c>
      <c r="K299" t="str">
        <f>IFERROR(VLOOKUP($C299,Merchants!$A$2:$D$41,4,FALSE),"Merchant not found")</f>
        <v>North</v>
      </c>
      <c r="L299" s="3">
        <f>IFERROR(HLOOKUP(F299,Fee_Lookup!$B$1:$E$2,2,FALSE),"Method not found")</f>
        <v>5.0000000000000001E-3</v>
      </c>
      <c r="M299" s="6">
        <f t="shared" si="8"/>
        <v>3.9950000000000001</v>
      </c>
      <c r="N299" s="8">
        <f t="shared" si="9"/>
        <v>46033</v>
      </c>
    </row>
    <row r="300" spans="1:14" x14ac:dyDescent="0.4">
      <c r="A300" t="s">
        <v>367</v>
      </c>
      <c r="B300">
        <v>218</v>
      </c>
      <c r="C300">
        <v>6</v>
      </c>
      <c r="D300" s="2">
        <v>46031.115277777775</v>
      </c>
      <c r="E300">
        <v>99</v>
      </c>
      <c r="F300" t="s">
        <v>66</v>
      </c>
      <c r="G300" t="s">
        <v>64</v>
      </c>
      <c r="H300">
        <v>55</v>
      </c>
      <c r="I300" t="str">
        <f>IFERROR(VLOOKUP($C300,Merchants!$A$2:$D$41,2,FALSE),"Merchant not found")</f>
        <v>Merchant_006</v>
      </c>
      <c r="J300" t="str">
        <f>IFERROR(VLOOKUP($C300,Merchants!$A$2:$D$41,3,FALSE),"Merchant not found")</f>
        <v>food_delivery</v>
      </c>
      <c r="K300" t="str">
        <f>IFERROR(VLOOKUP($C300,Merchants!$A$2:$D$41,4,FALSE),"Merchant not found")</f>
        <v>South</v>
      </c>
      <c r="L300" s="3">
        <f>IFERROR(HLOOKUP(F300,Fee_Lookup!$B$1:$E$2,2,FALSE),"Method not found")</f>
        <v>5.0000000000000001E-3</v>
      </c>
      <c r="M300" s="6">
        <f t="shared" si="8"/>
        <v>0.495</v>
      </c>
      <c r="N300" s="8">
        <f t="shared" si="9"/>
        <v>46031</v>
      </c>
    </row>
    <row r="301" spans="1:14" x14ac:dyDescent="0.4">
      <c r="A301" t="s">
        <v>368</v>
      </c>
      <c r="B301">
        <v>151</v>
      </c>
      <c r="C301">
        <v>21</v>
      </c>
      <c r="D301" s="2">
        <v>46042.231944444444</v>
      </c>
      <c r="E301">
        <v>49</v>
      </c>
      <c r="F301" t="s">
        <v>66</v>
      </c>
      <c r="G301" t="s">
        <v>64</v>
      </c>
      <c r="H301">
        <v>13</v>
      </c>
      <c r="I301" t="str">
        <f>IFERROR(VLOOKUP($C301,Merchants!$A$2:$D$41,2,FALSE),"Merchant not found")</f>
        <v>Merchant_021</v>
      </c>
      <c r="J301" t="str">
        <f>IFERROR(VLOOKUP($C301,Merchants!$A$2:$D$41,3,FALSE),"Merchant not found")</f>
        <v>food_delivery</v>
      </c>
      <c r="K301" t="str">
        <f>IFERROR(VLOOKUP($C301,Merchants!$A$2:$D$41,4,FALSE),"Merchant not found")</f>
        <v>East</v>
      </c>
      <c r="L301" s="3">
        <f>IFERROR(HLOOKUP(F301,Fee_Lookup!$B$1:$E$2,2,FALSE),"Method not found")</f>
        <v>5.0000000000000001E-3</v>
      </c>
      <c r="M301" s="6">
        <f t="shared" si="8"/>
        <v>0.245</v>
      </c>
      <c r="N301" s="8">
        <f t="shared" si="9"/>
        <v>46042</v>
      </c>
    </row>
    <row r="302" spans="1:14" x14ac:dyDescent="0.4">
      <c r="A302" t="s">
        <v>369</v>
      </c>
      <c r="B302">
        <v>152</v>
      </c>
      <c r="C302">
        <v>20</v>
      </c>
      <c r="D302" s="2">
        <v>46025.445833333331</v>
      </c>
      <c r="E302">
        <v>49</v>
      </c>
      <c r="F302" t="s">
        <v>66</v>
      </c>
      <c r="G302" t="s">
        <v>64</v>
      </c>
      <c r="H302">
        <v>57</v>
      </c>
      <c r="I302" t="str">
        <f>IFERROR(VLOOKUP($C302,Merchants!$A$2:$D$41,2,FALSE),"Merchant not found")</f>
        <v>Merchant_020</v>
      </c>
      <c r="J302" t="str">
        <f>IFERROR(VLOOKUP($C302,Merchants!$A$2:$D$41,3,FALSE),"Merchant not found")</f>
        <v>food_delivery</v>
      </c>
      <c r="K302" t="str">
        <f>IFERROR(VLOOKUP($C302,Merchants!$A$2:$D$41,4,FALSE),"Merchant not found")</f>
        <v>East</v>
      </c>
      <c r="L302" s="3">
        <f>IFERROR(HLOOKUP(F302,Fee_Lookup!$B$1:$E$2,2,FALSE),"Method not found")</f>
        <v>5.0000000000000001E-3</v>
      </c>
      <c r="M302" s="6">
        <f t="shared" si="8"/>
        <v>0.245</v>
      </c>
      <c r="N302" s="8">
        <f t="shared" si="9"/>
        <v>46025</v>
      </c>
    </row>
    <row r="303" spans="1:14" x14ac:dyDescent="0.4">
      <c r="A303" t="s">
        <v>370</v>
      </c>
      <c r="B303">
        <v>86</v>
      </c>
      <c r="C303">
        <v>29</v>
      </c>
      <c r="D303" s="2">
        <v>46042.935416666667</v>
      </c>
      <c r="E303">
        <v>149</v>
      </c>
      <c r="F303" t="s">
        <v>78</v>
      </c>
      <c r="G303" t="s">
        <v>64</v>
      </c>
      <c r="H303">
        <v>44</v>
      </c>
      <c r="I303" t="str">
        <f>IFERROR(VLOOKUP($C303,Merchants!$A$2:$D$41,2,FALSE),"Merchant not found")</f>
        <v>Merchant_029</v>
      </c>
      <c r="J303" t="str">
        <f>IFERROR(VLOOKUP($C303,Merchants!$A$2:$D$41,3,FALSE),"Merchant not found")</f>
        <v>ecommerce</v>
      </c>
      <c r="K303" t="str">
        <f>IFERROR(VLOOKUP($C303,Merchants!$A$2:$D$41,4,FALSE),"Merchant not found")</f>
        <v>North</v>
      </c>
      <c r="L303" s="3">
        <f>IFERROR(HLOOKUP(F303,Fee_Lookup!$B$1:$E$2,2,FALSE),"Method not found")</f>
        <v>1.2E-2</v>
      </c>
      <c r="M303" s="6">
        <f t="shared" si="8"/>
        <v>1.788</v>
      </c>
      <c r="N303" s="8">
        <f t="shared" si="9"/>
        <v>46042</v>
      </c>
    </row>
    <row r="304" spans="1:14" x14ac:dyDescent="0.4">
      <c r="A304" t="s">
        <v>371</v>
      </c>
      <c r="B304">
        <v>181</v>
      </c>
      <c r="C304">
        <v>40</v>
      </c>
      <c r="D304" s="2">
        <v>46037.073611111111</v>
      </c>
      <c r="E304">
        <v>149</v>
      </c>
      <c r="F304" t="s">
        <v>66</v>
      </c>
      <c r="G304" t="s">
        <v>64</v>
      </c>
      <c r="H304">
        <v>55</v>
      </c>
      <c r="I304" t="str">
        <f>IFERROR(VLOOKUP($C304,Merchants!$A$2:$D$41,2,FALSE),"Merchant not found")</f>
        <v>Merchant_040</v>
      </c>
      <c r="J304" t="str">
        <f>IFERROR(VLOOKUP($C304,Merchants!$A$2:$D$41,3,FALSE),"Merchant not found")</f>
        <v>entertainment</v>
      </c>
      <c r="K304" t="str">
        <f>IFERROR(VLOOKUP($C304,Merchants!$A$2:$D$41,4,FALSE),"Merchant not found")</f>
        <v>South</v>
      </c>
      <c r="L304" s="3">
        <f>IFERROR(HLOOKUP(F304,Fee_Lookup!$B$1:$E$2,2,FALSE),"Method not found")</f>
        <v>5.0000000000000001E-3</v>
      </c>
      <c r="M304" s="6">
        <f t="shared" si="8"/>
        <v>0.745</v>
      </c>
      <c r="N304" s="8">
        <f t="shared" si="9"/>
        <v>46037</v>
      </c>
    </row>
    <row r="305" spans="1:14" x14ac:dyDescent="0.4">
      <c r="A305" t="s">
        <v>372</v>
      </c>
      <c r="B305">
        <v>30</v>
      </c>
      <c r="C305">
        <v>5</v>
      </c>
      <c r="D305" s="2">
        <v>46031.868055555555</v>
      </c>
      <c r="E305">
        <v>299</v>
      </c>
      <c r="F305" t="s">
        <v>66</v>
      </c>
      <c r="G305" t="s">
        <v>64</v>
      </c>
      <c r="H305">
        <v>85</v>
      </c>
      <c r="I305" t="str">
        <f>IFERROR(VLOOKUP($C305,Merchants!$A$2:$D$41,2,FALSE),"Merchant not found")</f>
        <v>Merchant_005</v>
      </c>
      <c r="J305" t="str">
        <f>IFERROR(VLOOKUP($C305,Merchants!$A$2:$D$41,3,FALSE),"Merchant not found")</f>
        <v>recharge</v>
      </c>
      <c r="K305" t="str">
        <f>IFERROR(VLOOKUP($C305,Merchants!$A$2:$D$41,4,FALSE),"Merchant not found")</f>
        <v>South</v>
      </c>
      <c r="L305" s="3">
        <f>IFERROR(HLOOKUP(F305,Fee_Lookup!$B$1:$E$2,2,FALSE),"Method not found")</f>
        <v>5.0000000000000001E-3</v>
      </c>
      <c r="M305" s="6">
        <f t="shared" si="8"/>
        <v>1.4950000000000001</v>
      </c>
      <c r="N305" s="8">
        <f t="shared" si="9"/>
        <v>46031</v>
      </c>
    </row>
    <row r="306" spans="1:14" x14ac:dyDescent="0.4">
      <c r="A306" t="s">
        <v>373</v>
      </c>
      <c r="B306">
        <v>263</v>
      </c>
      <c r="C306">
        <v>11</v>
      </c>
      <c r="D306" s="2">
        <v>46043.515972222223</v>
      </c>
      <c r="E306">
        <v>149</v>
      </c>
      <c r="F306" t="s">
        <v>63</v>
      </c>
      <c r="G306" t="s">
        <v>64</v>
      </c>
      <c r="H306">
        <v>3</v>
      </c>
      <c r="I306" t="str">
        <f>IFERROR(VLOOKUP($C306,Merchants!$A$2:$D$41,2,FALSE),"Merchant not found")</f>
        <v>Merchant_011</v>
      </c>
      <c r="J306" t="str">
        <f>IFERROR(VLOOKUP($C306,Merchants!$A$2:$D$41,3,FALSE),"Merchant not found")</f>
        <v>ecommerce</v>
      </c>
      <c r="K306" t="str">
        <f>IFERROR(VLOOKUP($C306,Merchants!$A$2:$D$41,4,FALSE),"Merchant not found")</f>
        <v>North</v>
      </c>
      <c r="L306" s="3">
        <f>IFERROR(HLOOKUP(F306,Fee_Lookup!$B$1:$E$2,2,FALSE),"Method not found")</f>
        <v>7.4999999999999997E-3</v>
      </c>
      <c r="M306" s="6">
        <f t="shared" si="8"/>
        <v>1.1174999999999999</v>
      </c>
      <c r="N306" s="8">
        <f t="shared" si="9"/>
        <v>46043</v>
      </c>
    </row>
    <row r="307" spans="1:14" x14ac:dyDescent="0.4">
      <c r="A307" t="s">
        <v>374</v>
      </c>
      <c r="B307">
        <v>225</v>
      </c>
      <c r="C307">
        <v>3</v>
      </c>
      <c r="D307" s="2">
        <v>46027.821527777778</v>
      </c>
      <c r="E307">
        <v>99</v>
      </c>
      <c r="F307" t="s">
        <v>69</v>
      </c>
      <c r="G307" t="s">
        <v>64</v>
      </c>
      <c r="H307">
        <v>16</v>
      </c>
      <c r="I307" t="str">
        <f>IFERROR(VLOOKUP($C307,Merchants!$A$2:$D$41,2,FALSE),"Merchant not found")</f>
        <v>Merchant_003</v>
      </c>
      <c r="J307" t="str">
        <f>IFERROR(VLOOKUP($C307,Merchants!$A$2:$D$41,3,FALSE),"Merchant not found")</f>
        <v>grocery</v>
      </c>
      <c r="K307" t="str">
        <f>IFERROR(VLOOKUP($C307,Merchants!$A$2:$D$41,4,FALSE),"Merchant not found")</f>
        <v>East</v>
      </c>
      <c r="L307" s="3">
        <f>IFERROR(HLOOKUP(F307,Fee_Lookup!$B$1:$E$2,2,FALSE),"Method not found")</f>
        <v>0.01</v>
      </c>
      <c r="M307" s="6">
        <f t="shared" si="8"/>
        <v>0.99</v>
      </c>
      <c r="N307" s="8">
        <f t="shared" si="9"/>
        <v>46027</v>
      </c>
    </row>
    <row r="308" spans="1:14" x14ac:dyDescent="0.4">
      <c r="A308" t="s">
        <v>375</v>
      </c>
      <c r="B308">
        <v>331</v>
      </c>
      <c r="C308">
        <v>24</v>
      </c>
      <c r="D308" s="2">
        <v>46025.325694444444</v>
      </c>
      <c r="E308">
        <v>49</v>
      </c>
      <c r="F308" t="s">
        <v>78</v>
      </c>
      <c r="G308" t="s">
        <v>64</v>
      </c>
      <c r="H308">
        <v>46</v>
      </c>
      <c r="I308" t="str">
        <f>IFERROR(VLOOKUP($C308,Merchants!$A$2:$D$41,2,FALSE),"Merchant not found")</f>
        <v>Merchant_024</v>
      </c>
      <c r="J308" t="str">
        <f>IFERROR(VLOOKUP($C308,Merchants!$A$2:$D$41,3,FALSE),"Merchant not found")</f>
        <v>grocery</v>
      </c>
      <c r="K308" t="str">
        <f>IFERROR(VLOOKUP($C308,Merchants!$A$2:$D$41,4,FALSE),"Merchant not found")</f>
        <v>North</v>
      </c>
      <c r="L308" s="3">
        <f>IFERROR(HLOOKUP(F308,Fee_Lookup!$B$1:$E$2,2,FALSE),"Method not found")</f>
        <v>1.2E-2</v>
      </c>
      <c r="M308" s="6">
        <f t="shared" si="8"/>
        <v>0.58799999999999997</v>
      </c>
      <c r="N308" s="8">
        <f t="shared" si="9"/>
        <v>46025</v>
      </c>
    </row>
    <row r="309" spans="1:14" x14ac:dyDescent="0.4">
      <c r="A309" t="s">
        <v>376</v>
      </c>
      <c r="B309">
        <v>310</v>
      </c>
      <c r="C309">
        <v>10</v>
      </c>
      <c r="D309" s="2">
        <v>46035.751388888886</v>
      </c>
      <c r="E309">
        <v>1499</v>
      </c>
      <c r="F309" t="s">
        <v>78</v>
      </c>
      <c r="G309" t="s">
        <v>64</v>
      </c>
      <c r="H309">
        <v>86</v>
      </c>
      <c r="I309" t="str">
        <f>IFERROR(VLOOKUP($C309,Merchants!$A$2:$D$41,2,FALSE),"Merchant not found")</f>
        <v>Merchant_010</v>
      </c>
      <c r="J309" t="str">
        <f>IFERROR(VLOOKUP($C309,Merchants!$A$2:$D$41,3,FALSE),"Merchant not found")</f>
        <v>grocery</v>
      </c>
      <c r="K309" t="str">
        <f>IFERROR(VLOOKUP($C309,Merchants!$A$2:$D$41,4,FALSE),"Merchant not found")</f>
        <v>West</v>
      </c>
      <c r="L309" s="3">
        <f>IFERROR(HLOOKUP(F309,Fee_Lookup!$B$1:$E$2,2,FALSE),"Method not found")</f>
        <v>1.2E-2</v>
      </c>
      <c r="M309" s="6">
        <f t="shared" si="8"/>
        <v>17.988</v>
      </c>
      <c r="N309" s="8">
        <f t="shared" si="9"/>
        <v>46035</v>
      </c>
    </row>
    <row r="310" spans="1:14" x14ac:dyDescent="0.4">
      <c r="A310" t="s">
        <v>377</v>
      </c>
      <c r="B310">
        <v>228</v>
      </c>
      <c r="C310">
        <v>5</v>
      </c>
      <c r="D310" s="2">
        <v>46037.474305555559</v>
      </c>
      <c r="E310">
        <v>49</v>
      </c>
      <c r="F310" t="s">
        <v>66</v>
      </c>
      <c r="G310" t="s">
        <v>64</v>
      </c>
      <c r="H310">
        <v>73</v>
      </c>
      <c r="I310" t="str">
        <f>IFERROR(VLOOKUP($C310,Merchants!$A$2:$D$41,2,FALSE),"Merchant not found")</f>
        <v>Merchant_005</v>
      </c>
      <c r="J310" t="str">
        <f>IFERROR(VLOOKUP($C310,Merchants!$A$2:$D$41,3,FALSE),"Merchant not found")</f>
        <v>recharge</v>
      </c>
      <c r="K310" t="str">
        <f>IFERROR(VLOOKUP($C310,Merchants!$A$2:$D$41,4,FALSE),"Merchant not found")</f>
        <v>South</v>
      </c>
      <c r="L310" s="3">
        <f>IFERROR(HLOOKUP(F310,Fee_Lookup!$B$1:$E$2,2,FALSE),"Method not found")</f>
        <v>5.0000000000000001E-3</v>
      </c>
      <c r="M310" s="6">
        <f t="shared" si="8"/>
        <v>0.245</v>
      </c>
      <c r="N310" s="8">
        <f t="shared" si="9"/>
        <v>46037</v>
      </c>
    </row>
    <row r="311" spans="1:14" x14ac:dyDescent="0.4">
      <c r="A311" t="s">
        <v>378</v>
      </c>
      <c r="B311">
        <v>204</v>
      </c>
      <c r="C311">
        <v>21</v>
      </c>
      <c r="D311" s="2">
        <v>46027.682638888888</v>
      </c>
      <c r="E311">
        <v>499</v>
      </c>
      <c r="F311" t="s">
        <v>66</v>
      </c>
      <c r="G311" t="s">
        <v>64</v>
      </c>
      <c r="H311">
        <v>83</v>
      </c>
      <c r="I311" t="str">
        <f>IFERROR(VLOOKUP($C311,Merchants!$A$2:$D$41,2,FALSE),"Merchant not found")</f>
        <v>Merchant_021</v>
      </c>
      <c r="J311" t="str">
        <f>IFERROR(VLOOKUP($C311,Merchants!$A$2:$D$41,3,FALSE),"Merchant not found")</f>
        <v>food_delivery</v>
      </c>
      <c r="K311" t="str">
        <f>IFERROR(VLOOKUP($C311,Merchants!$A$2:$D$41,4,FALSE),"Merchant not found")</f>
        <v>East</v>
      </c>
      <c r="L311" s="3">
        <f>IFERROR(HLOOKUP(F311,Fee_Lookup!$B$1:$E$2,2,FALSE),"Method not found")</f>
        <v>5.0000000000000001E-3</v>
      </c>
      <c r="M311" s="6">
        <f t="shared" si="8"/>
        <v>2.4950000000000001</v>
      </c>
      <c r="N311" s="8">
        <f t="shared" si="9"/>
        <v>46027</v>
      </c>
    </row>
    <row r="312" spans="1:14" x14ac:dyDescent="0.4">
      <c r="A312" t="s">
        <v>379</v>
      </c>
      <c r="B312">
        <v>14</v>
      </c>
      <c r="C312">
        <v>12</v>
      </c>
      <c r="D312" s="2">
        <v>46031.296527777777</v>
      </c>
      <c r="E312">
        <v>799</v>
      </c>
      <c r="F312" t="s">
        <v>69</v>
      </c>
      <c r="G312" t="s">
        <v>64</v>
      </c>
      <c r="H312">
        <v>63</v>
      </c>
      <c r="I312" t="str">
        <f>IFERROR(VLOOKUP($C312,Merchants!$A$2:$D$41,2,FALSE),"Merchant not found")</f>
        <v>Merchant_012</v>
      </c>
      <c r="J312" t="str">
        <f>IFERROR(VLOOKUP($C312,Merchants!$A$2:$D$41,3,FALSE),"Merchant not found")</f>
        <v>ecommerce</v>
      </c>
      <c r="K312" t="str">
        <f>IFERROR(VLOOKUP($C312,Merchants!$A$2:$D$41,4,FALSE),"Merchant not found")</f>
        <v>East</v>
      </c>
      <c r="L312" s="3">
        <f>IFERROR(HLOOKUP(F312,Fee_Lookup!$B$1:$E$2,2,FALSE),"Method not found")</f>
        <v>0.01</v>
      </c>
      <c r="M312" s="6">
        <f t="shared" si="8"/>
        <v>7.99</v>
      </c>
      <c r="N312" s="8">
        <f t="shared" si="9"/>
        <v>46031</v>
      </c>
    </row>
    <row r="313" spans="1:14" x14ac:dyDescent="0.4">
      <c r="A313" t="s">
        <v>380</v>
      </c>
      <c r="B313">
        <v>288</v>
      </c>
      <c r="C313">
        <v>8</v>
      </c>
      <c r="D313" s="2">
        <v>46039.540277777778</v>
      </c>
      <c r="E313">
        <v>49</v>
      </c>
      <c r="F313" t="s">
        <v>66</v>
      </c>
      <c r="G313" t="s">
        <v>64</v>
      </c>
      <c r="H313">
        <v>33</v>
      </c>
      <c r="I313" t="str">
        <f>IFERROR(VLOOKUP($C313,Merchants!$A$2:$D$41,2,FALSE),"Merchant not found")</f>
        <v>Merchant_008</v>
      </c>
      <c r="J313" t="str">
        <f>IFERROR(VLOOKUP($C313,Merchants!$A$2:$D$41,3,FALSE),"Merchant not found")</f>
        <v>food_delivery</v>
      </c>
      <c r="K313" t="str">
        <f>IFERROR(VLOOKUP($C313,Merchants!$A$2:$D$41,4,FALSE),"Merchant not found")</f>
        <v>North</v>
      </c>
      <c r="L313" s="3">
        <f>IFERROR(HLOOKUP(F313,Fee_Lookup!$B$1:$E$2,2,FALSE),"Method not found")</f>
        <v>5.0000000000000001E-3</v>
      </c>
      <c r="M313" s="6">
        <f t="shared" si="8"/>
        <v>0.245</v>
      </c>
      <c r="N313" s="8">
        <f t="shared" si="9"/>
        <v>46039</v>
      </c>
    </row>
    <row r="314" spans="1:14" x14ac:dyDescent="0.4">
      <c r="A314" t="s">
        <v>381</v>
      </c>
      <c r="B314">
        <v>229</v>
      </c>
      <c r="C314">
        <v>14</v>
      </c>
      <c r="D314" s="2">
        <v>46047.364583333336</v>
      </c>
      <c r="E314">
        <v>1499</v>
      </c>
      <c r="F314" t="s">
        <v>66</v>
      </c>
      <c r="G314" t="s">
        <v>64</v>
      </c>
      <c r="H314">
        <v>78</v>
      </c>
      <c r="I314" t="str">
        <f>IFERROR(VLOOKUP($C314,Merchants!$A$2:$D$41,2,FALSE),"Merchant not found")</f>
        <v>Merchant_014</v>
      </c>
      <c r="J314" t="str">
        <f>IFERROR(VLOOKUP($C314,Merchants!$A$2:$D$41,3,FALSE),"Merchant not found")</f>
        <v>grocery</v>
      </c>
      <c r="K314" t="str">
        <f>IFERROR(VLOOKUP($C314,Merchants!$A$2:$D$41,4,FALSE),"Merchant not found")</f>
        <v>East</v>
      </c>
      <c r="L314" s="3">
        <f>IFERROR(HLOOKUP(F314,Fee_Lookup!$B$1:$E$2,2,FALSE),"Method not found")</f>
        <v>5.0000000000000001E-3</v>
      </c>
      <c r="M314" s="6">
        <f t="shared" si="8"/>
        <v>7.4950000000000001</v>
      </c>
      <c r="N314" s="8">
        <f t="shared" si="9"/>
        <v>46047</v>
      </c>
    </row>
    <row r="315" spans="1:14" x14ac:dyDescent="0.4">
      <c r="A315" t="s">
        <v>382</v>
      </c>
      <c r="B315">
        <v>252</v>
      </c>
      <c r="C315">
        <v>13</v>
      </c>
      <c r="D315" s="2">
        <v>46032.956944444442</v>
      </c>
      <c r="E315">
        <v>99</v>
      </c>
      <c r="F315" t="s">
        <v>63</v>
      </c>
      <c r="G315" t="s">
        <v>64</v>
      </c>
      <c r="H315">
        <v>15</v>
      </c>
      <c r="I315" t="str">
        <f>IFERROR(VLOOKUP($C315,Merchants!$A$2:$D$41,2,FALSE),"Merchant not found")</f>
        <v>Merchant_013</v>
      </c>
      <c r="J315" t="str">
        <f>IFERROR(VLOOKUP($C315,Merchants!$A$2:$D$41,3,FALSE),"Merchant not found")</f>
        <v>travel</v>
      </c>
      <c r="K315" t="str">
        <f>IFERROR(VLOOKUP($C315,Merchants!$A$2:$D$41,4,FALSE),"Merchant not found")</f>
        <v>East</v>
      </c>
      <c r="L315" s="3">
        <f>IFERROR(HLOOKUP(F315,Fee_Lookup!$B$1:$E$2,2,FALSE),"Method not found")</f>
        <v>7.4999999999999997E-3</v>
      </c>
      <c r="M315" s="6">
        <f t="shared" si="8"/>
        <v>0.74249999999999994</v>
      </c>
      <c r="N315" s="8">
        <f t="shared" si="9"/>
        <v>46032</v>
      </c>
    </row>
    <row r="316" spans="1:14" x14ac:dyDescent="0.4">
      <c r="A316" t="s">
        <v>383</v>
      </c>
      <c r="B316">
        <v>89</v>
      </c>
      <c r="C316">
        <v>29</v>
      </c>
      <c r="D316" s="2">
        <v>46027.102777777778</v>
      </c>
      <c r="E316">
        <v>799</v>
      </c>
      <c r="F316" t="s">
        <v>66</v>
      </c>
      <c r="G316" t="s">
        <v>64</v>
      </c>
      <c r="H316">
        <v>11</v>
      </c>
      <c r="I316" t="str">
        <f>IFERROR(VLOOKUP($C316,Merchants!$A$2:$D$41,2,FALSE),"Merchant not found")</f>
        <v>Merchant_029</v>
      </c>
      <c r="J316" t="str">
        <f>IFERROR(VLOOKUP($C316,Merchants!$A$2:$D$41,3,FALSE),"Merchant not found")</f>
        <v>ecommerce</v>
      </c>
      <c r="K316" t="str">
        <f>IFERROR(VLOOKUP($C316,Merchants!$A$2:$D$41,4,FALSE),"Merchant not found")</f>
        <v>North</v>
      </c>
      <c r="L316" s="3">
        <f>IFERROR(HLOOKUP(F316,Fee_Lookup!$B$1:$E$2,2,FALSE),"Method not found")</f>
        <v>5.0000000000000001E-3</v>
      </c>
      <c r="M316" s="6">
        <f t="shared" si="8"/>
        <v>3.9950000000000001</v>
      </c>
      <c r="N316" s="8">
        <f t="shared" si="9"/>
        <v>46027</v>
      </c>
    </row>
    <row r="317" spans="1:14" x14ac:dyDescent="0.4">
      <c r="A317" t="s">
        <v>384</v>
      </c>
      <c r="B317">
        <v>164</v>
      </c>
      <c r="C317">
        <v>23</v>
      </c>
      <c r="D317" s="2">
        <v>46048.912499999999</v>
      </c>
      <c r="E317">
        <v>49</v>
      </c>
      <c r="F317" t="s">
        <v>69</v>
      </c>
      <c r="G317" t="s">
        <v>64</v>
      </c>
      <c r="H317">
        <v>90</v>
      </c>
      <c r="I317" t="str">
        <f>IFERROR(VLOOKUP($C317,Merchants!$A$2:$D$41,2,FALSE),"Merchant not found")</f>
        <v>Merchant_023</v>
      </c>
      <c r="J317" t="str">
        <f>IFERROR(VLOOKUP($C317,Merchants!$A$2:$D$41,3,FALSE),"Merchant not found")</f>
        <v>travel</v>
      </c>
      <c r="K317" t="str">
        <f>IFERROR(VLOOKUP($C317,Merchants!$A$2:$D$41,4,FALSE),"Merchant not found")</f>
        <v>North</v>
      </c>
      <c r="L317" s="3">
        <f>IFERROR(HLOOKUP(F317,Fee_Lookup!$B$1:$E$2,2,FALSE),"Method not found")</f>
        <v>0.01</v>
      </c>
      <c r="M317" s="6">
        <f t="shared" si="8"/>
        <v>0.49</v>
      </c>
      <c r="N317" s="8">
        <f t="shared" si="9"/>
        <v>46048</v>
      </c>
    </row>
    <row r="318" spans="1:14" x14ac:dyDescent="0.4">
      <c r="A318" t="s">
        <v>385</v>
      </c>
      <c r="B318">
        <v>149</v>
      </c>
      <c r="C318">
        <v>20</v>
      </c>
      <c r="D318" s="2">
        <v>46025.731944444444</v>
      </c>
      <c r="E318">
        <v>299</v>
      </c>
      <c r="F318" t="s">
        <v>63</v>
      </c>
      <c r="G318" t="s">
        <v>64</v>
      </c>
      <c r="H318">
        <v>20</v>
      </c>
      <c r="I318" t="str">
        <f>IFERROR(VLOOKUP($C318,Merchants!$A$2:$D$41,2,FALSE),"Merchant not found")</f>
        <v>Merchant_020</v>
      </c>
      <c r="J318" t="str">
        <f>IFERROR(VLOOKUP($C318,Merchants!$A$2:$D$41,3,FALSE),"Merchant not found")</f>
        <v>food_delivery</v>
      </c>
      <c r="K318" t="str">
        <f>IFERROR(VLOOKUP($C318,Merchants!$A$2:$D$41,4,FALSE),"Merchant not found")</f>
        <v>East</v>
      </c>
      <c r="L318" s="3">
        <f>IFERROR(HLOOKUP(F318,Fee_Lookup!$B$1:$E$2,2,FALSE),"Method not found")</f>
        <v>7.4999999999999997E-3</v>
      </c>
      <c r="M318" s="6">
        <f t="shared" si="8"/>
        <v>2.2424999999999997</v>
      </c>
      <c r="N318" s="8">
        <f t="shared" si="9"/>
        <v>46025</v>
      </c>
    </row>
    <row r="319" spans="1:14" x14ac:dyDescent="0.4">
      <c r="A319" t="s">
        <v>386</v>
      </c>
      <c r="B319">
        <v>327</v>
      </c>
      <c r="C319">
        <v>12</v>
      </c>
      <c r="D319" s="2">
        <v>46045.957638888889</v>
      </c>
      <c r="E319">
        <v>49</v>
      </c>
      <c r="F319" t="s">
        <v>69</v>
      </c>
      <c r="G319" t="s">
        <v>64</v>
      </c>
      <c r="H319">
        <v>46</v>
      </c>
      <c r="I319" t="str">
        <f>IFERROR(VLOOKUP($C319,Merchants!$A$2:$D$41,2,FALSE),"Merchant not found")</f>
        <v>Merchant_012</v>
      </c>
      <c r="J319" t="str">
        <f>IFERROR(VLOOKUP($C319,Merchants!$A$2:$D$41,3,FALSE),"Merchant not found")</f>
        <v>ecommerce</v>
      </c>
      <c r="K319" t="str">
        <f>IFERROR(VLOOKUP($C319,Merchants!$A$2:$D$41,4,FALSE),"Merchant not found")</f>
        <v>East</v>
      </c>
      <c r="L319" s="3">
        <f>IFERROR(HLOOKUP(F319,Fee_Lookup!$B$1:$E$2,2,FALSE),"Method not found")</f>
        <v>0.01</v>
      </c>
      <c r="M319" s="6">
        <f t="shared" si="8"/>
        <v>0.49</v>
      </c>
      <c r="N319" s="8">
        <f t="shared" si="9"/>
        <v>46045</v>
      </c>
    </row>
    <row r="320" spans="1:14" x14ac:dyDescent="0.4">
      <c r="A320" t="s">
        <v>387</v>
      </c>
      <c r="B320">
        <v>103</v>
      </c>
      <c r="C320">
        <v>9</v>
      </c>
      <c r="D320" s="2">
        <v>46039.296527777777</v>
      </c>
      <c r="E320">
        <v>149</v>
      </c>
      <c r="F320" t="s">
        <v>66</v>
      </c>
      <c r="G320" t="s">
        <v>64</v>
      </c>
      <c r="H320">
        <v>30</v>
      </c>
      <c r="I320" t="str">
        <f>IFERROR(VLOOKUP($C320,Merchants!$A$2:$D$41,2,FALSE),"Merchant not found")</f>
        <v>Merchant_009</v>
      </c>
      <c r="J320" t="str">
        <f>IFERROR(VLOOKUP($C320,Merchants!$A$2:$D$41,3,FALSE),"Merchant not found")</f>
        <v>ecommerce</v>
      </c>
      <c r="K320" t="str">
        <f>IFERROR(VLOOKUP($C320,Merchants!$A$2:$D$41,4,FALSE),"Merchant not found")</f>
        <v>North</v>
      </c>
      <c r="L320" s="3">
        <f>IFERROR(HLOOKUP(F320,Fee_Lookup!$B$1:$E$2,2,FALSE),"Method not found")</f>
        <v>5.0000000000000001E-3</v>
      </c>
      <c r="M320" s="6">
        <f t="shared" si="8"/>
        <v>0.745</v>
      </c>
      <c r="N320" s="8">
        <f t="shared" si="9"/>
        <v>46039</v>
      </c>
    </row>
    <row r="321" spans="1:14" x14ac:dyDescent="0.4">
      <c r="A321" t="s">
        <v>388</v>
      </c>
      <c r="B321">
        <v>185</v>
      </c>
      <c r="C321">
        <v>36</v>
      </c>
      <c r="D321" s="2">
        <v>46048.625694444447</v>
      </c>
      <c r="E321">
        <v>49</v>
      </c>
      <c r="F321" t="s">
        <v>63</v>
      </c>
      <c r="G321" t="s">
        <v>64</v>
      </c>
      <c r="H321">
        <v>73</v>
      </c>
      <c r="I321" t="str">
        <f>IFERROR(VLOOKUP($C321,Merchants!$A$2:$D$41,2,FALSE),"Merchant not found")</f>
        <v>Merchant_036</v>
      </c>
      <c r="J321" t="str">
        <f>IFERROR(VLOOKUP($C321,Merchants!$A$2:$D$41,3,FALSE),"Merchant not found")</f>
        <v>entertainment</v>
      </c>
      <c r="K321" t="str">
        <f>IFERROR(VLOOKUP($C321,Merchants!$A$2:$D$41,4,FALSE),"Merchant not found")</f>
        <v>East</v>
      </c>
      <c r="L321" s="3">
        <f>IFERROR(HLOOKUP(F321,Fee_Lookup!$B$1:$E$2,2,FALSE),"Method not found")</f>
        <v>7.4999999999999997E-3</v>
      </c>
      <c r="M321" s="6">
        <f t="shared" si="8"/>
        <v>0.36749999999999999</v>
      </c>
      <c r="N321" s="8">
        <f t="shared" si="9"/>
        <v>46048</v>
      </c>
    </row>
    <row r="322" spans="1:14" x14ac:dyDescent="0.4">
      <c r="A322" t="s">
        <v>389</v>
      </c>
      <c r="B322">
        <v>283</v>
      </c>
      <c r="C322">
        <v>9</v>
      </c>
      <c r="D322" s="2">
        <v>46034.618750000001</v>
      </c>
      <c r="E322">
        <v>299</v>
      </c>
      <c r="F322" t="s">
        <v>66</v>
      </c>
      <c r="G322" t="s">
        <v>64</v>
      </c>
      <c r="H322">
        <v>78</v>
      </c>
      <c r="I322" t="str">
        <f>IFERROR(VLOOKUP($C322,Merchants!$A$2:$D$41,2,FALSE),"Merchant not found")</f>
        <v>Merchant_009</v>
      </c>
      <c r="J322" t="str">
        <f>IFERROR(VLOOKUP($C322,Merchants!$A$2:$D$41,3,FALSE),"Merchant not found")</f>
        <v>ecommerce</v>
      </c>
      <c r="K322" t="str">
        <f>IFERROR(VLOOKUP($C322,Merchants!$A$2:$D$41,4,FALSE),"Merchant not found")</f>
        <v>North</v>
      </c>
      <c r="L322" s="3">
        <f>IFERROR(HLOOKUP(F322,Fee_Lookup!$B$1:$E$2,2,FALSE),"Method not found")</f>
        <v>5.0000000000000001E-3</v>
      </c>
      <c r="M322" s="6">
        <f t="shared" si="8"/>
        <v>1.4950000000000001</v>
      </c>
      <c r="N322" s="8">
        <f t="shared" si="9"/>
        <v>46034</v>
      </c>
    </row>
    <row r="323" spans="1:14" x14ac:dyDescent="0.4">
      <c r="A323" t="s">
        <v>390</v>
      </c>
      <c r="B323">
        <v>159</v>
      </c>
      <c r="C323">
        <v>26</v>
      </c>
      <c r="D323" s="2">
        <v>46051.086111111108</v>
      </c>
      <c r="E323">
        <v>99</v>
      </c>
      <c r="F323" t="s">
        <v>66</v>
      </c>
      <c r="G323" t="s">
        <v>64</v>
      </c>
      <c r="H323">
        <v>91</v>
      </c>
      <c r="I323" t="str">
        <f>IFERROR(VLOOKUP($C323,Merchants!$A$2:$D$41,2,FALSE),"Merchant not found")</f>
        <v>Merchant_026</v>
      </c>
      <c r="J323" t="str">
        <f>IFERROR(VLOOKUP($C323,Merchants!$A$2:$D$41,3,FALSE),"Merchant not found")</f>
        <v>food_delivery</v>
      </c>
      <c r="K323" t="str">
        <f>IFERROR(VLOOKUP($C323,Merchants!$A$2:$D$41,4,FALSE),"Merchant not found")</f>
        <v>East</v>
      </c>
      <c r="L323" s="3">
        <f>IFERROR(HLOOKUP(F323,Fee_Lookup!$B$1:$E$2,2,FALSE),"Method not found")</f>
        <v>5.0000000000000001E-3</v>
      </c>
      <c r="M323" s="6">
        <f t="shared" ref="M323:M386" si="10">E323*L323</f>
        <v>0.495</v>
      </c>
      <c r="N323" s="8">
        <f t="shared" ref="N323:N386" si="11">INT(D323)</f>
        <v>46051</v>
      </c>
    </row>
    <row r="324" spans="1:14" x14ac:dyDescent="0.4">
      <c r="A324" t="s">
        <v>391</v>
      </c>
      <c r="B324">
        <v>211</v>
      </c>
      <c r="C324">
        <v>27</v>
      </c>
      <c r="D324" s="2">
        <v>46046.647916666669</v>
      </c>
      <c r="E324">
        <v>99</v>
      </c>
      <c r="F324" t="s">
        <v>63</v>
      </c>
      <c r="G324" t="s">
        <v>64</v>
      </c>
      <c r="H324">
        <v>73</v>
      </c>
      <c r="I324" t="str">
        <f>IFERROR(VLOOKUP($C324,Merchants!$A$2:$D$41,2,FALSE),"Merchant not found")</f>
        <v>Merchant_027</v>
      </c>
      <c r="J324" t="str">
        <f>IFERROR(VLOOKUP($C324,Merchants!$A$2:$D$41,3,FALSE),"Merchant not found")</f>
        <v>ecommerce</v>
      </c>
      <c r="K324" t="str">
        <f>IFERROR(VLOOKUP($C324,Merchants!$A$2:$D$41,4,FALSE),"Merchant not found")</f>
        <v>North</v>
      </c>
      <c r="L324" s="3">
        <f>IFERROR(HLOOKUP(F324,Fee_Lookup!$B$1:$E$2,2,FALSE),"Method not found")</f>
        <v>7.4999999999999997E-3</v>
      </c>
      <c r="M324" s="6">
        <f t="shared" si="10"/>
        <v>0.74249999999999994</v>
      </c>
      <c r="N324" s="8">
        <f t="shared" si="11"/>
        <v>46046</v>
      </c>
    </row>
    <row r="325" spans="1:14" x14ac:dyDescent="0.4">
      <c r="A325" t="s">
        <v>392</v>
      </c>
      <c r="B325">
        <v>329</v>
      </c>
      <c r="C325">
        <v>5</v>
      </c>
      <c r="D325" s="2">
        <v>46025.180555555555</v>
      </c>
      <c r="E325">
        <v>499</v>
      </c>
      <c r="F325" t="s">
        <v>69</v>
      </c>
      <c r="G325" t="s">
        <v>64</v>
      </c>
      <c r="H325">
        <v>57</v>
      </c>
      <c r="I325" t="str">
        <f>IFERROR(VLOOKUP($C325,Merchants!$A$2:$D$41,2,FALSE),"Merchant not found")</f>
        <v>Merchant_005</v>
      </c>
      <c r="J325" t="str">
        <f>IFERROR(VLOOKUP($C325,Merchants!$A$2:$D$41,3,FALSE),"Merchant not found")</f>
        <v>recharge</v>
      </c>
      <c r="K325" t="str">
        <f>IFERROR(VLOOKUP($C325,Merchants!$A$2:$D$41,4,FALSE),"Merchant not found")</f>
        <v>South</v>
      </c>
      <c r="L325" s="3">
        <f>IFERROR(HLOOKUP(F325,Fee_Lookup!$B$1:$E$2,2,FALSE),"Method not found")</f>
        <v>0.01</v>
      </c>
      <c r="M325" s="6">
        <f t="shared" si="10"/>
        <v>4.99</v>
      </c>
      <c r="N325" s="8">
        <f t="shared" si="11"/>
        <v>46025</v>
      </c>
    </row>
    <row r="326" spans="1:14" x14ac:dyDescent="0.4">
      <c r="A326" t="s">
        <v>393</v>
      </c>
      <c r="B326">
        <v>177</v>
      </c>
      <c r="C326">
        <v>9</v>
      </c>
      <c r="D326" s="2">
        <v>46037.897916666669</v>
      </c>
      <c r="E326">
        <v>99</v>
      </c>
      <c r="F326" t="s">
        <v>66</v>
      </c>
      <c r="G326" t="s">
        <v>64</v>
      </c>
      <c r="H326">
        <v>99</v>
      </c>
      <c r="I326" t="str">
        <f>IFERROR(VLOOKUP($C326,Merchants!$A$2:$D$41,2,FALSE),"Merchant not found")</f>
        <v>Merchant_009</v>
      </c>
      <c r="J326" t="str">
        <f>IFERROR(VLOOKUP($C326,Merchants!$A$2:$D$41,3,FALSE),"Merchant not found")</f>
        <v>ecommerce</v>
      </c>
      <c r="K326" t="str">
        <f>IFERROR(VLOOKUP($C326,Merchants!$A$2:$D$41,4,FALSE),"Merchant not found")</f>
        <v>North</v>
      </c>
      <c r="L326" s="3">
        <f>IFERROR(HLOOKUP(F326,Fee_Lookup!$B$1:$E$2,2,FALSE),"Method not found")</f>
        <v>5.0000000000000001E-3</v>
      </c>
      <c r="M326" s="6">
        <f t="shared" si="10"/>
        <v>0.495</v>
      </c>
      <c r="N326" s="8">
        <f t="shared" si="11"/>
        <v>46037</v>
      </c>
    </row>
    <row r="327" spans="1:14" x14ac:dyDescent="0.4">
      <c r="A327" t="s">
        <v>394</v>
      </c>
      <c r="B327">
        <v>94</v>
      </c>
      <c r="C327">
        <v>9</v>
      </c>
      <c r="D327" s="2">
        <v>46040.859027777777</v>
      </c>
      <c r="E327">
        <v>299</v>
      </c>
      <c r="F327" t="s">
        <v>66</v>
      </c>
      <c r="G327" t="s">
        <v>64</v>
      </c>
      <c r="H327">
        <v>55</v>
      </c>
      <c r="I327" t="str">
        <f>IFERROR(VLOOKUP($C327,Merchants!$A$2:$D$41,2,FALSE),"Merchant not found")</f>
        <v>Merchant_009</v>
      </c>
      <c r="J327" t="str">
        <f>IFERROR(VLOOKUP($C327,Merchants!$A$2:$D$41,3,FALSE),"Merchant not found")</f>
        <v>ecommerce</v>
      </c>
      <c r="K327" t="str">
        <f>IFERROR(VLOOKUP($C327,Merchants!$A$2:$D$41,4,FALSE),"Merchant not found")</f>
        <v>North</v>
      </c>
      <c r="L327" s="3">
        <f>IFERROR(HLOOKUP(F327,Fee_Lookup!$B$1:$E$2,2,FALSE),"Method not found")</f>
        <v>5.0000000000000001E-3</v>
      </c>
      <c r="M327" s="6">
        <f t="shared" si="10"/>
        <v>1.4950000000000001</v>
      </c>
      <c r="N327" s="8">
        <f t="shared" si="11"/>
        <v>46040</v>
      </c>
    </row>
    <row r="328" spans="1:14" x14ac:dyDescent="0.4">
      <c r="A328" t="s">
        <v>395</v>
      </c>
      <c r="B328">
        <v>64</v>
      </c>
      <c r="C328">
        <v>34</v>
      </c>
      <c r="D328" s="2">
        <v>46039.078472222223</v>
      </c>
      <c r="E328">
        <v>299</v>
      </c>
      <c r="F328" t="s">
        <v>66</v>
      </c>
      <c r="G328" t="s">
        <v>64</v>
      </c>
      <c r="H328">
        <v>19</v>
      </c>
      <c r="I328" t="str">
        <f>IFERROR(VLOOKUP($C328,Merchants!$A$2:$D$41,2,FALSE),"Merchant not found")</f>
        <v>Merchant_034</v>
      </c>
      <c r="J328" t="str">
        <f>IFERROR(VLOOKUP($C328,Merchants!$A$2:$D$41,3,FALSE),"Merchant not found")</f>
        <v>travel</v>
      </c>
      <c r="K328" t="str">
        <f>IFERROR(VLOOKUP($C328,Merchants!$A$2:$D$41,4,FALSE),"Merchant not found")</f>
        <v>South</v>
      </c>
      <c r="L328" s="3">
        <f>IFERROR(HLOOKUP(F328,Fee_Lookup!$B$1:$E$2,2,FALSE),"Method not found")</f>
        <v>5.0000000000000001E-3</v>
      </c>
      <c r="M328" s="6">
        <f t="shared" si="10"/>
        <v>1.4950000000000001</v>
      </c>
      <c r="N328" s="8">
        <f t="shared" si="11"/>
        <v>46039</v>
      </c>
    </row>
    <row r="329" spans="1:14" x14ac:dyDescent="0.4">
      <c r="A329" t="s">
        <v>396</v>
      </c>
      <c r="B329">
        <v>166</v>
      </c>
      <c r="C329">
        <v>15</v>
      </c>
      <c r="D329" s="2">
        <v>46032.215277777781</v>
      </c>
      <c r="E329">
        <v>49</v>
      </c>
      <c r="F329" t="s">
        <v>66</v>
      </c>
      <c r="G329" t="s">
        <v>64</v>
      </c>
      <c r="H329">
        <v>44</v>
      </c>
      <c r="I329" t="str">
        <f>IFERROR(VLOOKUP($C329,Merchants!$A$2:$D$41,2,FALSE),"Merchant not found")</f>
        <v>Merchant_015</v>
      </c>
      <c r="J329" t="str">
        <f>IFERROR(VLOOKUP($C329,Merchants!$A$2:$D$41,3,FALSE),"Merchant not found")</f>
        <v>travel</v>
      </c>
      <c r="K329" t="str">
        <f>IFERROR(VLOOKUP($C329,Merchants!$A$2:$D$41,4,FALSE),"Merchant not found")</f>
        <v>North</v>
      </c>
      <c r="L329" s="3">
        <f>IFERROR(HLOOKUP(F329,Fee_Lookup!$B$1:$E$2,2,FALSE),"Method not found")</f>
        <v>5.0000000000000001E-3</v>
      </c>
      <c r="M329" s="6">
        <f t="shared" si="10"/>
        <v>0.245</v>
      </c>
      <c r="N329" s="8">
        <f t="shared" si="11"/>
        <v>46032</v>
      </c>
    </row>
    <row r="330" spans="1:14" x14ac:dyDescent="0.4">
      <c r="A330" t="s">
        <v>397</v>
      </c>
      <c r="B330">
        <v>41</v>
      </c>
      <c r="C330">
        <v>17</v>
      </c>
      <c r="D330" s="2">
        <v>46039.412499999999</v>
      </c>
      <c r="E330">
        <v>299</v>
      </c>
      <c r="F330" t="s">
        <v>63</v>
      </c>
      <c r="G330" t="s">
        <v>64</v>
      </c>
      <c r="H330">
        <v>25</v>
      </c>
      <c r="I330" t="str">
        <f>IFERROR(VLOOKUP($C330,Merchants!$A$2:$D$41,2,FALSE),"Merchant not found")</f>
        <v>Merchant_017</v>
      </c>
      <c r="J330" t="str">
        <f>IFERROR(VLOOKUP($C330,Merchants!$A$2:$D$41,3,FALSE),"Merchant not found")</f>
        <v>grocery</v>
      </c>
      <c r="K330" t="str">
        <f>IFERROR(VLOOKUP($C330,Merchants!$A$2:$D$41,4,FALSE),"Merchant not found")</f>
        <v>North</v>
      </c>
      <c r="L330" s="3">
        <f>IFERROR(HLOOKUP(F330,Fee_Lookup!$B$1:$E$2,2,FALSE),"Method not found")</f>
        <v>7.4999999999999997E-3</v>
      </c>
      <c r="M330" s="6">
        <f t="shared" si="10"/>
        <v>2.2424999999999997</v>
      </c>
      <c r="N330" s="8">
        <f t="shared" si="11"/>
        <v>46039</v>
      </c>
    </row>
    <row r="331" spans="1:14" x14ac:dyDescent="0.4">
      <c r="A331" t="s">
        <v>398</v>
      </c>
      <c r="B331">
        <v>65</v>
      </c>
      <c r="C331">
        <v>20</v>
      </c>
      <c r="D331" s="2">
        <v>46043.720138888886</v>
      </c>
      <c r="E331">
        <v>99</v>
      </c>
      <c r="F331" t="s">
        <v>78</v>
      </c>
      <c r="G331" t="s">
        <v>64</v>
      </c>
      <c r="H331">
        <v>78</v>
      </c>
      <c r="I331" t="str">
        <f>IFERROR(VLOOKUP($C331,Merchants!$A$2:$D$41,2,FALSE),"Merchant not found")</f>
        <v>Merchant_020</v>
      </c>
      <c r="J331" t="str">
        <f>IFERROR(VLOOKUP($C331,Merchants!$A$2:$D$41,3,FALSE),"Merchant not found")</f>
        <v>food_delivery</v>
      </c>
      <c r="K331" t="str">
        <f>IFERROR(VLOOKUP($C331,Merchants!$A$2:$D$41,4,FALSE),"Merchant not found")</f>
        <v>East</v>
      </c>
      <c r="L331" s="3">
        <f>IFERROR(HLOOKUP(F331,Fee_Lookup!$B$1:$E$2,2,FALSE),"Method not found")</f>
        <v>1.2E-2</v>
      </c>
      <c r="M331" s="6">
        <f t="shared" si="10"/>
        <v>1.1879999999999999</v>
      </c>
      <c r="N331" s="8">
        <f t="shared" si="11"/>
        <v>46043</v>
      </c>
    </row>
    <row r="332" spans="1:14" x14ac:dyDescent="0.4">
      <c r="A332" t="s">
        <v>399</v>
      </c>
      <c r="B332">
        <v>329</v>
      </c>
      <c r="C332">
        <v>11</v>
      </c>
      <c r="D332" s="2">
        <v>46040.105555555558</v>
      </c>
      <c r="E332">
        <v>499</v>
      </c>
      <c r="F332" t="s">
        <v>66</v>
      </c>
      <c r="G332" t="s">
        <v>64</v>
      </c>
      <c r="H332">
        <v>75</v>
      </c>
      <c r="I332" t="str">
        <f>IFERROR(VLOOKUP($C332,Merchants!$A$2:$D$41,2,FALSE),"Merchant not found")</f>
        <v>Merchant_011</v>
      </c>
      <c r="J332" t="str">
        <f>IFERROR(VLOOKUP($C332,Merchants!$A$2:$D$41,3,FALSE),"Merchant not found")</f>
        <v>ecommerce</v>
      </c>
      <c r="K332" t="str">
        <f>IFERROR(VLOOKUP($C332,Merchants!$A$2:$D$41,4,FALSE),"Merchant not found")</f>
        <v>North</v>
      </c>
      <c r="L332" s="3">
        <f>IFERROR(HLOOKUP(F332,Fee_Lookup!$B$1:$E$2,2,FALSE),"Method not found")</f>
        <v>5.0000000000000001E-3</v>
      </c>
      <c r="M332" s="6">
        <f t="shared" si="10"/>
        <v>2.4950000000000001</v>
      </c>
      <c r="N332" s="8">
        <f t="shared" si="11"/>
        <v>46040</v>
      </c>
    </row>
    <row r="333" spans="1:14" x14ac:dyDescent="0.4">
      <c r="A333" t="s">
        <v>400</v>
      </c>
      <c r="B333">
        <v>338</v>
      </c>
      <c r="C333">
        <v>40</v>
      </c>
      <c r="D333" s="2">
        <v>46041.173611111109</v>
      </c>
      <c r="E333">
        <v>149</v>
      </c>
      <c r="F333" t="s">
        <v>66</v>
      </c>
      <c r="G333" t="s">
        <v>64</v>
      </c>
      <c r="H333">
        <v>92</v>
      </c>
      <c r="I333" t="str">
        <f>IFERROR(VLOOKUP($C333,Merchants!$A$2:$D$41,2,FALSE),"Merchant not found")</f>
        <v>Merchant_040</v>
      </c>
      <c r="J333" t="str">
        <f>IFERROR(VLOOKUP($C333,Merchants!$A$2:$D$41,3,FALSE),"Merchant not found")</f>
        <v>entertainment</v>
      </c>
      <c r="K333" t="str">
        <f>IFERROR(VLOOKUP($C333,Merchants!$A$2:$D$41,4,FALSE),"Merchant not found")</f>
        <v>South</v>
      </c>
      <c r="L333" s="3">
        <f>IFERROR(HLOOKUP(F333,Fee_Lookup!$B$1:$E$2,2,FALSE),"Method not found")</f>
        <v>5.0000000000000001E-3</v>
      </c>
      <c r="M333" s="6">
        <f t="shared" si="10"/>
        <v>0.745</v>
      </c>
      <c r="N333" s="8">
        <f t="shared" si="11"/>
        <v>46041</v>
      </c>
    </row>
    <row r="334" spans="1:14" x14ac:dyDescent="0.4">
      <c r="A334" t="s">
        <v>401</v>
      </c>
      <c r="B334">
        <v>289</v>
      </c>
      <c r="C334">
        <v>3</v>
      </c>
      <c r="D334" s="2">
        <v>46051.806250000001</v>
      </c>
      <c r="E334">
        <v>49</v>
      </c>
      <c r="F334" t="s">
        <v>69</v>
      </c>
      <c r="G334" t="s">
        <v>64</v>
      </c>
      <c r="H334">
        <v>3</v>
      </c>
      <c r="I334" t="str">
        <f>IFERROR(VLOOKUP($C334,Merchants!$A$2:$D$41,2,FALSE),"Merchant not found")</f>
        <v>Merchant_003</v>
      </c>
      <c r="J334" t="str">
        <f>IFERROR(VLOOKUP($C334,Merchants!$A$2:$D$41,3,FALSE),"Merchant not found")</f>
        <v>grocery</v>
      </c>
      <c r="K334" t="str">
        <f>IFERROR(VLOOKUP($C334,Merchants!$A$2:$D$41,4,FALSE),"Merchant not found")</f>
        <v>East</v>
      </c>
      <c r="L334" s="3">
        <f>IFERROR(HLOOKUP(F334,Fee_Lookup!$B$1:$E$2,2,FALSE),"Method not found")</f>
        <v>0.01</v>
      </c>
      <c r="M334" s="6">
        <f t="shared" si="10"/>
        <v>0.49</v>
      </c>
      <c r="N334" s="8">
        <f t="shared" si="11"/>
        <v>46051</v>
      </c>
    </row>
    <row r="335" spans="1:14" x14ac:dyDescent="0.4">
      <c r="A335" t="s">
        <v>402</v>
      </c>
      <c r="B335">
        <v>296</v>
      </c>
      <c r="C335">
        <v>17</v>
      </c>
      <c r="D335" s="2">
        <v>46025.070138888892</v>
      </c>
      <c r="E335">
        <v>99</v>
      </c>
      <c r="F335" t="s">
        <v>66</v>
      </c>
      <c r="G335" t="s">
        <v>64</v>
      </c>
      <c r="H335">
        <v>83</v>
      </c>
      <c r="I335" t="str">
        <f>IFERROR(VLOOKUP($C335,Merchants!$A$2:$D$41,2,FALSE),"Merchant not found")</f>
        <v>Merchant_017</v>
      </c>
      <c r="J335" t="str">
        <f>IFERROR(VLOOKUP($C335,Merchants!$A$2:$D$41,3,FALSE),"Merchant not found")</f>
        <v>grocery</v>
      </c>
      <c r="K335" t="str">
        <f>IFERROR(VLOOKUP($C335,Merchants!$A$2:$D$41,4,FALSE),"Merchant not found")</f>
        <v>North</v>
      </c>
      <c r="L335" s="3">
        <f>IFERROR(HLOOKUP(F335,Fee_Lookup!$B$1:$E$2,2,FALSE),"Method not found")</f>
        <v>5.0000000000000001E-3</v>
      </c>
      <c r="M335" s="6">
        <f t="shared" si="10"/>
        <v>0.495</v>
      </c>
      <c r="N335" s="8">
        <f t="shared" si="11"/>
        <v>46025</v>
      </c>
    </row>
    <row r="336" spans="1:14" x14ac:dyDescent="0.4">
      <c r="A336" t="s">
        <v>403</v>
      </c>
      <c r="B336">
        <v>317</v>
      </c>
      <c r="C336">
        <v>2</v>
      </c>
      <c r="D336" s="2">
        <v>46029.768055555556</v>
      </c>
      <c r="E336">
        <v>499</v>
      </c>
      <c r="F336" t="s">
        <v>78</v>
      </c>
      <c r="G336" t="s">
        <v>64</v>
      </c>
      <c r="H336">
        <v>63</v>
      </c>
      <c r="I336" t="str">
        <f>IFERROR(VLOOKUP($C336,Merchants!$A$2:$D$41,2,FALSE),"Merchant not found")</f>
        <v>Merchant_002</v>
      </c>
      <c r="J336" t="str">
        <f>IFERROR(VLOOKUP($C336,Merchants!$A$2:$D$41,3,FALSE),"Merchant not found")</f>
        <v>grocery</v>
      </c>
      <c r="K336" t="str">
        <f>IFERROR(VLOOKUP($C336,Merchants!$A$2:$D$41,4,FALSE),"Merchant not found")</f>
        <v>West</v>
      </c>
      <c r="L336" s="3">
        <f>IFERROR(HLOOKUP(F336,Fee_Lookup!$B$1:$E$2,2,FALSE),"Method not found")</f>
        <v>1.2E-2</v>
      </c>
      <c r="M336" s="6">
        <f t="shared" si="10"/>
        <v>5.9880000000000004</v>
      </c>
      <c r="N336" s="8">
        <f t="shared" si="11"/>
        <v>46029</v>
      </c>
    </row>
    <row r="337" spans="1:14" x14ac:dyDescent="0.4">
      <c r="A337" t="s">
        <v>404</v>
      </c>
      <c r="B337">
        <v>149</v>
      </c>
      <c r="C337">
        <v>20</v>
      </c>
      <c r="D337" s="2">
        <v>46051.856944444444</v>
      </c>
      <c r="E337">
        <v>499</v>
      </c>
      <c r="F337" t="s">
        <v>78</v>
      </c>
      <c r="G337" t="s">
        <v>64</v>
      </c>
      <c r="H337">
        <v>61</v>
      </c>
      <c r="I337" t="str">
        <f>IFERROR(VLOOKUP($C337,Merchants!$A$2:$D$41,2,FALSE),"Merchant not found")</f>
        <v>Merchant_020</v>
      </c>
      <c r="J337" t="str">
        <f>IFERROR(VLOOKUP($C337,Merchants!$A$2:$D$41,3,FALSE),"Merchant not found")</f>
        <v>food_delivery</v>
      </c>
      <c r="K337" t="str">
        <f>IFERROR(VLOOKUP($C337,Merchants!$A$2:$D$41,4,FALSE),"Merchant not found")</f>
        <v>East</v>
      </c>
      <c r="L337" s="3">
        <f>IFERROR(HLOOKUP(F337,Fee_Lookup!$B$1:$E$2,2,FALSE),"Method not found")</f>
        <v>1.2E-2</v>
      </c>
      <c r="M337" s="6">
        <f t="shared" si="10"/>
        <v>5.9880000000000004</v>
      </c>
      <c r="N337" s="8">
        <f t="shared" si="11"/>
        <v>46051</v>
      </c>
    </row>
    <row r="338" spans="1:14" x14ac:dyDescent="0.4">
      <c r="A338" t="s">
        <v>405</v>
      </c>
      <c r="B338">
        <v>153</v>
      </c>
      <c r="C338">
        <v>30</v>
      </c>
      <c r="D338" s="2">
        <v>46030.892361111109</v>
      </c>
      <c r="E338">
        <v>299</v>
      </c>
      <c r="F338" t="s">
        <v>66</v>
      </c>
      <c r="G338" t="s">
        <v>64</v>
      </c>
      <c r="H338">
        <v>9</v>
      </c>
      <c r="I338" t="str">
        <f>IFERROR(VLOOKUP($C338,Merchants!$A$2:$D$41,2,FALSE),"Merchant not found")</f>
        <v>Merchant_030</v>
      </c>
      <c r="J338" t="str">
        <f>IFERROR(VLOOKUP($C338,Merchants!$A$2:$D$41,3,FALSE),"Merchant not found")</f>
        <v>travel</v>
      </c>
      <c r="K338" t="str">
        <f>IFERROR(VLOOKUP($C338,Merchants!$A$2:$D$41,4,FALSE),"Merchant not found")</f>
        <v>West</v>
      </c>
      <c r="L338" s="3">
        <f>IFERROR(HLOOKUP(F338,Fee_Lookup!$B$1:$E$2,2,FALSE),"Method not found")</f>
        <v>5.0000000000000001E-3</v>
      </c>
      <c r="M338" s="6">
        <f t="shared" si="10"/>
        <v>1.4950000000000001</v>
      </c>
      <c r="N338" s="8">
        <f t="shared" si="11"/>
        <v>46030</v>
      </c>
    </row>
    <row r="339" spans="1:14" x14ac:dyDescent="0.4">
      <c r="A339" t="s">
        <v>406</v>
      </c>
      <c r="B339">
        <v>226</v>
      </c>
      <c r="C339">
        <v>27</v>
      </c>
      <c r="D339" s="2">
        <v>46045.048611111109</v>
      </c>
      <c r="E339">
        <v>2999</v>
      </c>
      <c r="F339" t="s">
        <v>66</v>
      </c>
      <c r="G339" t="s">
        <v>92</v>
      </c>
      <c r="H339">
        <v>61</v>
      </c>
      <c r="I339" t="str">
        <f>IFERROR(VLOOKUP($C339,Merchants!$A$2:$D$41,2,FALSE),"Merchant not found")</f>
        <v>Merchant_027</v>
      </c>
      <c r="J339" t="str">
        <f>IFERROR(VLOOKUP($C339,Merchants!$A$2:$D$41,3,FALSE),"Merchant not found")</f>
        <v>ecommerce</v>
      </c>
      <c r="K339" t="str">
        <f>IFERROR(VLOOKUP($C339,Merchants!$A$2:$D$41,4,FALSE),"Merchant not found")</f>
        <v>North</v>
      </c>
      <c r="L339" s="3">
        <f>IFERROR(HLOOKUP(F339,Fee_Lookup!$B$1:$E$2,2,FALSE),"Method not found")</f>
        <v>5.0000000000000001E-3</v>
      </c>
      <c r="M339" s="6">
        <f t="shared" si="10"/>
        <v>14.995000000000001</v>
      </c>
      <c r="N339" s="8">
        <f t="shared" si="11"/>
        <v>46045</v>
      </c>
    </row>
    <row r="340" spans="1:14" x14ac:dyDescent="0.4">
      <c r="A340" t="s">
        <v>407</v>
      </c>
      <c r="B340">
        <v>311</v>
      </c>
      <c r="C340">
        <v>10</v>
      </c>
      <c r="D340" s="2">
        <v>46037.26458333333</v>
      </c>
      <c r="E340">
        <v>2999</v>
      </c>
      <c r="F340" t="s">
        <v>66</v>
      </c>
      <c r="G340" t="s">
        <v>64</v>
      </c>
      <c r="H340">
        <v>40</v>
      </c>
      <c r="I340" t="str">
        <f>IFERROR(VLOOKUP($C340,Merchants!$A$2:$D$41,2,FALSE),"Merchant not found")</f>
        <v>Merchant_010</v>
      </c>
      <c r="J340" t="str">
        <f>IFERROR(VLOOKUP($C340,Merchants!$A$2:$D$41,3,FALSE),"Merchant not found")</f>
        <v>grocery</v>
      </c>
      <c r="K340" t="str">
        <f>IFERROR(VLOOKUP($C340,Merchants!$A$2:$D$41,4,FALSE),"Merchant not found")</f>
        <v>West</v>
      </c>
      <c r="L340" s="3">
        <f>IFERROR(HLOOKUP(F340,Fee_Lookup!$B$1:$E$2,2,FALSE),"Method not found")</f>
        <v>5.0000000000000001E-3</v>
      </c>
      <c r="M340" s="6">
        <f t="shared" si="10"/>
        <v>14.995000000000001</v>
      </c>
      <c r="N340" s="8">
        <f t="shared" si="11"/>
        <v>46037</v>
      </c>
    </row>
    <row r="341" spans="1:14" x14ac:dyDescent="0.4">
      <c r="A341" t="s">
        <v>408</v>
      </c>
      <c r="B341">
        <v>177</v>
      </c>
      <c r="C341">
        <v>26</v>
      </c>
      <c r="D341" s="2">
        <v>46050.930555555555</v>
      </c>
      <c r="E341">
        <v>1499</v>
      </c>
      <c r="F341" t="s">
        <v>66</v>
      </c>
      <c r="G341" t="s">
        <v>64</v>
      </c>
      <c r="H341">
        <v>16</v>
      </c>
      <c r="I341" t="str">
        <f>IFERROR(VLOOKUP($C341,Merchants!$A$2:$D$41,2,FALSE),"Merchant not found")</f>
        <v>Merchant_026</v>
      </c>
      <c r="J341" t="str">
        <f>IFERROR(VLOOKUP($C341,Merchants!$A$2:$D$41,3,FALSE),"Merchant not found")</f>
        <v>food_delivery</v>
      </c>
      <c r="K341" t="str">
        <f>IFERROR(VLOOKUP($C341,Merchants!$A$2:$D$41,4,FALSE),"Merchant not found")</f>
        <v>East</v>
      </c>
      <c r="L341" s="3">
        <f>IFERROR(HLOOKUP(F341,Fee_Lookup!$B$1:$E$2,2,FALSE),"Method not found")</f>
        <v>5.0000000000000001E-3</v>
      </c>
      <c r="M341" s="6">
        <f t="shared" si="10"/>
        <v>7.4950000000000001</v>
      </c>
      <c r="N341" s="8">
        <f t="shared" si="11"/>
        <v>46050</v>
      </c>
    </row>
    <row r="342" spans="1:14" x14ac:dyDescent="0.4">
      <c r="A342" t="s">
        <v>409</v>
      </c>
      <c r="B342">
        <v>288</v>
      </c>
      <c r="C342">
        <v>7</v>
      </c>
      <c r="D342" s="2">
        <v>46047.480555555558</v>
      </c>
      <c r="E342">
        <v>99</v>
      </c>
      <c r="F342" t="s">
        <v>69</v>
      </c>
      <c r="G342" t="s">
        <v>64</v>
      </c>
      <c r="H342">
        <v>40</v>
      </c>
      <c r="I342" t="str">
        <f>IFERROR(VLOOKUP($C342,Merchants!$A$2:$D$41,2,FALSE),"Merchant not found")</f>
        <v>Merchant_007</v>
      </c>
      <c r="J342" t="str">
        <f>IFERROR(VLOOKUP($C342,Merchants!$A$2:$D$41,3,FALSE),"Merchant not found")</f>
        <v>food_delivery</v>
      </c>
      <c r="K342" t="str">
        <f>IFERROR(VLOOKUP($C342,Merchants!$A$2:$D$41,4,FALSE),"Merchant not found")</f>
        <v>East</v>
      </c>
      <c r="L342" s="3">
        <f>IFERROR(HLOOKUP(F342,Fee_Lookup!$B$1:$E$2,2,FALSE),"Method not found")</f>
        <v>0.01</v>
      </c>
      <c r="M342" s="6">
        <f t="shared" si="10"/>
        <v>0.99</v>
      </c>
      <c r="N342" s="8">
        <f t="shared" si="11"/>
        <v>46047</v>
      </c>
    </row>
    <row r="343" spans="1:14" x14ac:dyDescent="0.4">
      <c r="A343" t="s">
        <v>410</v>
      </c>
      <c r="B343">
        <v>137</v>
      </c>
      <c r="C343">
        <v>29</v>
      </c>
      <c r="D343" s="2">
        <v>46030.588194444441</v>
      </c>
      <c r="E343">
        <v>2999</v>
      </c>
      <c r="F343" t="s">
        <v>66</v>
      </c>
      <c r="G343" t="s">
        <v>79</v>
      </c>
      <c r="H343">
        <v>31</v>
      </c>
      <c r="I343" t="str">
        <f>IFERROR(VLOOKUP($C343,Merchants!$A$2:$D$41,2,FALSE),"Merchant not found")</f>
        <v>Merchant_029</v>
      </c>
      <c r="J343" t="str">
        <f>IFERROR(VLOOKUP($C343,Merchants!$A$2:$D$41,3,FALSE),"Merchant not found")</f>
        <v>ecommerce</v>
      </c>
      <c r="K343" t="str">
        <f>IFERROR(VLOOKUP($C343,Merchants!$A$2:$D$41,4,FALSE),"Merchant not found")</f>
        <v>North</v>
      </c>
      <c r="L343" s="3">
        <f>IFERROR(HLOOKUP(F343,Fee_Lookup!$B$1:$E$2,2,FALSE),"Method not found")</f>
        <v>5.0000000000000001E-3</v>
      </c>
      <c r="M343" s="6">
        <f t="shared" si="10"/>
        <v>14.995000000000001</v>
      </c>
      <c r="N343" s="8">
        <f t="shared" si="11"/>
        <v>46030</v>
      </c>
    </row>
    <row r="344" spans="1:14" x14ac:dyDescent="0.4">
      <c r="A344" t="s">
        <v>411</v>
      </c>
      <c r="B344">
        <v>149</v>
      </c>
      <c r="C344">
        <v>25</v>
      </c>
      <c r="D344" s="2">
        <v>46027.127083333333</v>
      </c>
      <c r="E344">
        <v>1499</v>
      </c>
      <c r="F344" t="s">
        <v>66</v>
      </c>
      <c r="G344" t="s">
        <v>64</v>
      </c>
      <c r="H344">
        <v>78</v>
      </c>
      <c r="I344" t="str">
        <f>IFERROR(VLOOKUP($C344,Merchants!$A$2:$D$41,2,FALSE),"Merchant not found")</f>
        <v>Merchant_025</v>
      </c>
      <c r="J344" t="str">
        <f>IFERROR(VLOOKUP($C344,Merchants!$A$2:$D$41,3,FALSE),"Merchant not found")</f>
        <v>travel</v>
      </c>
      <c r="K344" t="str">
        <f>IFERROR(VLOOKUP($C344,Merchants!$A$2:$D$41,4,FALSE),"Merchant not found")</f>
        <v>South</v>
      </c>
      <c r="L344" s="3">
        <f>IFERROR(HLOOKUP(F344,Fee_Lookup!$B$1:$E$2,2,FALSE),"Method not found")</f>
        <v>5.0000000000000001E-3</v>
      </c>
      <c r="M344" s="6">
        <f t="shared" si="10"/>
        <v>7.4950000000000001</v>
      </c>
      <c r="N344" s="8">
        <f t="shared" si="11"/>
        <v>46027</v>
      </c>
    </row>
    <row r="345" spans="1:14" x14ac:dyDescent="0.4">
      <c r="A345" t="s">
        <v>412</v>
      </c>
      <c r="B345">
        <v>82</v>
      </c>
      <c r="C345">
        <v>21</v>
      </c>
      <c r="D345" s="2">
        <v>46036.329861111109</v>
      </c>
      <c r="E345">
        <v>49</v>
      </c>
      <c r="F345" t="s">
        <v>63</v>
      </c>
      <c r="G345" t="s">
        <v>64</v>
      </c>
      <c r="H345">
        <v>73</v>
      </c>
      <c r="I345" t="str">
        <f>IFERROR(VLOOKUP($C345,Merchants!$A$2:$D$41,2,FALSE),"Merchant not found")</f>
        <v>Merchant_021</v>
      </c>
      <c r="J345" t="str">
        <f>IFERROR(VLOOKUP($C345,Merchants!$A$2:$D$41,3,FALSE),"Merchant not found")</f>
        <v>food_delivery</v>
      </c>
      <c r="K345" t="str">
        <f>IFERROR(VLOOKUP($C345,Merchants!$A$2:$D$41,4,FALSE),"Merchant not found")</f>
        <v>East</v>
      </c>
      <c r="L345" s="3">
        <f>IFERROR(HLOOKUP(F345,Fee_Lookup!$B$1:$E$2,2,FALSE),"Method not found")</f>
        <v>7.4999999999999997E-3</v>
      </c>
      <c r="M345" s="6">
        <f t="shared" si="10"/>
        <v>0.36749999999999999</v>
      </c>
      <c r="N345" s="8">
        <f t="shared" si="11"/>
        <v>46036</v>
      </c>
    </row>
    <row r="346" spans="1:14" x14ac:dyDescent="0.4">
      <c r="A346" t="s">
        <v>413</v>
      </c>
      <c r="B346">
        <v>82</v>
      </c>
      <c r="C346">
        <v>32</v>
      </c>
      <c r="D346" s="2">
        <v>46046.425000000003</v>
      </c>
      <c r="E346">
        <v>49</v>
      </c>
      <c r="F346" t="s">
        <v>66</v>
      </c>
      <c r="G346" t="s">
        <v>64</v>
      </c>
      <c r="H346">
        <v>65</v>
      </c>
      <c r="I346" t="str">
        <f>IFERROR(VLOOKUP($C346,Merchants!$A$2:$D$41,2,FALSE),"Merchant not found")</f>
        <v>Merchant_032</v>
      </c>
      <c r="J346" t="str">
        <f>IFERROR(VLOOKUP($C346,Merchants!$A$2:$D$41,3,FALSE),"Merchant not found")</f>
        <v>food_delivery</v>
      </c>
      <c r="K346" t="str">
        <f>IFERROR(VLOOKUP($C346,Merchants!$A$2:$D$41,4,FALSE),"Merchant not found")</f>
        <v>West</v>
      </c>
      <c r="L346" s="3">
        <f>IFERROR(HLOOKUP(F346,Fee_Lookup!$B$1:$E$2,2,FALSE),"Method not found")</f>
        <v>5.0000000000000001E-3</v>
      </c>
      <c r="M346" s="6">
        <f t="shared" si="10"/>
        <v>0.245</v>
      </c>
      <c r="N346" s="8">
        <f t="shared" si="11"/>
        <v>46046</v>
      </c>
    </row>
    <row r="347" spans="1:14" x14ac:dyDescent="0.4">
      <c r="A347" t="s">
        <v>414</v>
      </c>
      <c r="B347">
        <v>158</v>
      </c>
      <c r="C347">
        <v>32</v>
      </c>
      <c r="D347" s="2">
        <v>46037.663888888892</v>
      </c>
      <c r="E347">
        <v>99</v>
      </c>
      <c r="F347" t="s">
        <v>63</v>
      </c>
      <c r="G347" t="s">
        <v>64</v>
      </c>
      <c r="H347">
        <v>2</v>
      </c>
      <c r="I347" t="str">
        <f>IFERROR(VLOOKUP($C347,Merchants!$A$2:$D$41,2,FALSE),"Merchant not found")</f>
        <v>Merchant_032</v>
      </c>
      <c r="J347" t="str">
        <f>IFERROR(VLOOKUP($C347,Merchants!$A$2:$D$41,3,FALSE),"Merchant not found")</f>
        <v>food_delivery</v>
      </c>
      <c r="K347" t="str">
        <f>IFERROR(VLOOKUP($C347,Merchants!$A$2:$D$41,4,FALSE),"Merchant not found")</f>
        <v>West</v>
      </c>
      <c r="L347" s="3">
        <f>IFERROR(HLOOKUP(F347,Fee_Lookup!$B$1:$E$2,2,FALSE),"Method not found")</f>
        <v>7.4999999999999997E-3</v>
      </c>
      <c r="M347" s="6">
        <f t="shared" si="10"/>
        <v>0.74249999999999994</v>
      </c>
      <c r="N347" s="8">
        <f t="shared" si="11"/>
        <v>46037</v>
      </c>
    </row>
    <row r="348" spans="1:14" x14ac:dyDescent="0.4">
      <c r="A348" t="s">
        <v>415</v>
      </c>
      <c r="B348">
        <v>235</v>
      </c>
      <c r="C348">
        <v>16</v>
      </c>
      <c r="D348" s="2">
        <v>46025.522222222222</v>
      </c>
      <c r="E348">
        <v>99</v>
      </c>
      <c r="F348" t="s">
        <v>66</v>
      </c>
      <c r="G348" t="s">
        <v>64</v>
      </c>
      <c r="H348">
        <v>27</v>
      </c>
      <c r="I348" t="str">
        <f>IFERROR(VLOOKUP($C348,Merchants!$A$2:$D$41,2,FALSE),"Merchant not found")</f>
        <v>Merchant_016</v>
      </c>
      <c r="J348" t="str">
        <f>IFERROR(VLOOKUP($C348,Merchants!$A$2:$D$41,3,FALSE),"Merchant not found")</f>
        <v>bill_payment</v>
      </c>
      <c r="K348" t="str">
        <f>IFERROR(VLOOKUP($C348,Merchants!$A$2:$D$41,4,FALSE),"Merchant not found")</f>
        <v>West</v>
      </c>
      <c r="L348" s="3">
        <f>IFERROR(HLOOKUP(F348,Fee_Lookup!$B$1:$E$2,2,FALSE),"Method not found")</f>
        <v>5.0000000000000001E-3</v>
      </c>
      <c r="M348" s="6">
        <f t="shared" si="10"/>
        <v>0.495</v>
      </c>
      <c r="N348" s="8">
        <f t="shared" si="11"/>
        <v>46025</v>
      </c>
    </row>
    <row r="349" spans="1:14" x14ac:dyDescent="0.4">
      <c r="A349" t="s">
        <v>416</v>
      </c>
      <c r="B349">
        <v>26</v>
      </c>
      <c r="C349">
        <v>19</v>
      </c>
      <c r="D349" s="2">
        <v>46041.460416666669</v>
      </c>
      <c r="E349">
        <v>99</v>
      </c>
      <c r="F349" t="s">
        <v>63</v>
      </c>
      <c r="G349" t="s">
        <v>64</v>
      </c>
      <c r="H349">
        <v>63</v>
      </c>
      <c r="I349" t="str">
        <f>IFERROR(VLOOKUP($C349,Merchants!$A$2:$D$41,2,FALSE),"Merchant not found")</f>
        <v>Merchant_019</v>
      </c>
      <c r="J349" t="str">
        <f>IFERROR(VLOOKUP($C349,Merchants!$A$2:$D$41,3,FALSE),"Merchant not found")</f>
        <v>grocery</v>
      </c>
      <c r="K349" t="str">
        <f>IFERROR(VLOOKUP($C349,Merchants!$A$2:$D$41,4,FALSE),"Merchant not found")</f>
        <v>North</v>
      </c>
      <c r="L349" s="3">
        <f>IFERROR(HLOOKUP(F349,Fee_Lookup!$B$1:$E$2,2,FALSE),"Method not found")</f>
        <v>7.4999999999999997E-3</v>
      </c>
      <c r="M349" s="6">
        <f t="shared" si="10"/>
        <v>0.74249999999999994</v>
      </c>
      <c r="N349" s="8">
        <f t="shared" si="11"/>
        <v>46041</v>
      </c>
    </row>
    <row r="350" spans="1:14" x14ac:dyDescent="0.4">
      <c r="A350" t="s">
        <v>417</v>
      </c>
      <c r="B350">
        <v>241</v>
      </c>
      <c r="C350">
        <v>19</v>
      </c>
      <c r="D350" s="2">
        <v>46042.863194444442</v>
      </c>
      <c r="E350">
        <v>299</v>
      </c>
      <c r="F350" t="s">
        <v>66</v>
      </c>
      <c r="G350" t="s">
        <v>64</v>
      </c>
      <c r="H350">
        <v>68</v>
      </c>
      <c r="I350" t="str">
        <f>IFERROR(VLOOKUP($C350,Merchants!$A$2:$D$41,2,FALSE),"Merchant not found")</f>
        <v>Merchant_019</v>
      </c>
      <c r="J350" t="str">
        <f>IFERROR(VLOOKUP($C350,Merchants!$A$2:$D$41,3,FALSE),"Merchant not found")</f>
        <v>grocery</v>
      </c>
      <c r="K350" t="str">
        <f>IFERROR(VLOOKUP($C350,Merchants!$A$2:$D$41,4,FALSE),"Merchant not found")</f>
        <v>North</v>
      </c>
      <c r="L350" s="3">
        <f>IFERROR(HLOOKUP(F350,Fee_Lookup!$B$1:$E$2,2,FALSE),"Method not found")</f>
        <v>5.0000000000000001E-3</v>
      </c>
      <c r="M350" s="6">
        <f t="shared" si="10"/>
        <v>1.4950000000000001</v>
      </c>
      <c r="N350" s="8">
        <f t="shared" si="11"/>
        <v>46042</v>
      </c>
    </row>
    <row r="351" spans="1:14" x14ac:dyDescent="0.4">
      <c r="A351" t="s">
        <v>418</v>
      </c>
      <c r="B351">
        <v>69</v>
      </c>
      <c r="C351">
        <v>17</v>
      </c>
      <c r="D351" s="2">
        <v>46023.143750000003</v>
      </c>
      <c r="E351">
        <v>1499</v>
      </c>
      <c r="F351" t="s">
        <v>66</v>
      </c>
      <c r="G351" t="s">
        <v>64</v>
      </c>
      <c r="H351">
        <v>93</v>
      </c>
      <c r="I351" t="str">
        <f>IFERROR(VLOOKUP($C351,Merchants!$A$2:$D$41,2,FALSE),"Merchant not found")</f>
        <v>Merchant_017</v>
      </c>
      <c r="J351" t="str">
        <f>IFERROR(VLOOKUP($C351,Merchants!$A$2:$D$41,3,FALSE),"Merchant not found")</f>
        <v>grocery</v>
      </c>
      <c r="K351" t="str">
        <f>IFERROR(VLOOKUP($C351,Merchants!$A$2:$D$41,4,FALSE),"Merchant not found")</f>
        <v>North</v>
      </c>
      <c r="L351" s="3">
        <f>IFERROR(HLOOKUP(F351,Fee_Lookup!$B$1:$E$2,2,FALSE),"Method not found")</f>
        <v>5.0000000000000001E-3</v>
      </c>
      <c r="M351" s="6">
        <f t="shared" si="10"/>
        <v>7.4950000000000001</v>
      </c>
      <c r="N351" s="8">
        <f t="shared" si="11"/>
        <v>46023</v>
      </c>
    </row>
    <row r="352" spans="1:14" x14ac:dyDescent="0.4">
      <c r="A352" t="s">
        <v>419</v>
      </c>
      <c r="B352">
        <v>24</v>
      </c>
      <c r="C352">
        <v>26</v>
      </c>
      <c r="D352" s="2">
        <v>46034.515972222223</v>
      </c>
      <c r="E352">
        <v>299</v>
      </c>
      <c r="F352" t="s">
        <v>69</v>
      </c>
      <c r="G352" t="s">
        <v>64</v>
      </c>
      <c r="H352">
        <v>6</v>
      </c>
      <c r="I352" t="str">
        <f>IFERROR(VLOOKUP($C352,Merchants!$A$2:$D$41,2,FALSE),"Merchant not found")</f>
        <v>Merchant_026</v>
      </c>
      <c r="J352" t="str">
        <f>IFERROR(VLOOKUP($C352,Merchants!$A$2:$D$41,3,FALSE),"Merchant not found")</f>
        <v>food_delivery</v>
      </c>
      <c r="K352" t="str">
        <f>IFERROR(VLOOKUP($C352,Merchants!$A$2:$D$41,4,FALSE),"Merchant not found")</f>
        <v>East</v>
      </c>
      <c r="L352" s="3">
        <f>IFERROR(HLOOKUP(F352,Fee_Lookup!$B$1:$E$2,2,FALSE),"Method not found")</f>
        <v>0.01</v>
      </c>
      <c r="M352" s="6">
        <f t="shared" si="10"/>
        <v>2.99</v>
      </c>
      <c r="N352" s="8">
        <f t="shared" si="11"/>
        <v>46034</v>
      </c>
    </row>
    <row r="353" spans="1:14" x14ac:dyDescent="0.4">
      <c r="A353" t="s">
        <v>420</v>
      </c>
      <c r="B353">
        <v>186</v>
      </c>
      <c r="C353">
        <v>36</v>
      </c>
      <c r="D353" s="2">
        <v>46041.716666666667</v>
      </c>
      <c r="E353">
        <v>4999</v>
      </c>
      <c r="F353" t="s">
        <v>66</v>
      </c>
      <c r="G353" t="s">
        <v>64</v>
      </c>
      <c r="H353">
        <v>36</v>
      </c>
      <c r="I353" t="str">
        <f>IFERROR(VLOOKUP($C353,Merchants!$A$2:$D$41,2,FALSE),"Merchant not found")</f>
        <v>Merchant_036</v>
      </c>
      <c r="J353" t="str">
        <f>IFERROR(VLOOKUP($C353,Merchants!$A$2:$D$41,3,FALSE),"Merchant not found")</f>
        <v>entertainment</v>
      </c>
      <c r="K353" t="str">
        <f>IFERROR(VLOOKUP($C353,Merchants!$A$2:$D$41,4,FALSE),"Merchant not found")</f>
        <v>East</v>
      </c>
      <c r="L353" s="3">
        <f>IFERROR(HLOOKUP(F353,Fee_Lookup!$B$1:$E$2,2,FALSE),"Method not found")</f>
        <v>5.0000000000000001E-3</v>
      </c>
      <c r="M353" s="6">
        <f t="shared" si="10"/>
        <v>24.995000000000001</v>
      </c>
      <c r="N353" s="8">
        <f t="shared" si="11"/>
        <v>46041</v>
      </c>
    </row>
    <row r="354" spans="1:14" x14ac:dyDescent="0.4">
      <c r="A354" t="s">
        <v>421</v>
      </c>
      <c r="B354">
        <v>231</v>
      </c>
      <c r="C354">
        <v>36</v>
      </c>
      <c r="D354" s="2">
        <v>46025.522222222222</v>
      </c>
      <c r="E354">
        <v>149</v>
      </c>
      <c r="F354" t="s">
        <v>66</v>
      </c>
      <c r="G354" t="s">
        <v>64</v>
      </c>
      <c r="H354">
        <v>35</v>
      </c>
      <c r="I354" t="str">
        <f>IFERROR(VLOOKUP($C354,Merchants!$A$2:$D$41,2,FALSE),"Merchant not found")</f>
        <v>Merchant_036</v>
      </c>
      <c r="J354" t="str">
        <f>IFERROR(VLOOKUP($C354,Merchants!$A$2:$D$41,3,FALSE),"Merchant not found")</f>
        <v>entertainment</v>
      </c>
      <c r="K354" t="str">
        <f>IFERROR(VLOOKUP($C354,Merchants!$A$2:$D$41,4,FALSE),"Merchant not found")</f>
        <v>East</v>
      </c>
      <c r="L354" s="3">
        <f>IFERROR(HLOOKUP(F354,Fee_Lookup!$B$1:$E$2,2,FALSE),"Method not found")</f>
        <v>5.0000000000000001E-3</v>
      </c>
      <c r="M354" s="6">
        <f t="shared" si="10"/>
        <v>0.745</v>
      </c>
      <c r="N354" s="8">
        <f t="shared" si="11"/>
        <v>46025</v>
      </c>
    </row>
    <row r="355" spans="1:14" x14ac:dyDescent="0.4">
      <c r="A355" t="s">
        <v>422</v>
      </c>
      <c r="B355">
        <v>313</v>
      </c>
      <c r="C355">
        <v>8</v>
      </c>
      <c r="D355" s="2">
        <v>46049.821527777778</v>
      </c>
      <c r="E355">
        <v>1499</v>
      </c>
      <c r="F355" t="s">
        <v>69</v>
      </c>
      <c r="G355" t="s">
        <v>64</v>
      </c>
      <c r="H355">
        <v>16</v>
      </c>
      <c r="I355" t="str">
        <f>IFERROR(VLOOKUP($C355,Merchants!$A$2:$D$41,2,FALSE),"Merchant not found")</f>
        <v>Merchant_008</v>
      </c>
      <c r="J355" t="str">
        <f>IFERROR(VLOOKUP($C355,Merchants!$A$2:$D$41,3,FALSE),"Merchant not found")</f>
        <v>food_delivery</v>
      </c>
      <c r="K355" t="str">
        <f>IFERROR(VLOOKUP($C355,Merchants!$A$2:$D$41,4,FALSE),"Merchant not found")</f>
        <v>North</v>
      </c>
      <c r="L355" s="3">
        <f>IFERROR(HLOOKUP(F355,Fee_Lookup!$B$1:$E$2,2,FALSE),"Method not found")</f>
        <v>0.01</v>
      </c>
      <c r="M355" s="6">
        <f t="shared" si="10"/>
        <v>14.99</v>
      </c>
      <c r="N355" s="8">
        <f t="shared" si="11"/>
        <v>46049</v>
      </c>
    </row>
    <row r="356" spans="1:14" x14ac:dyDescent="0.4">
      <c r="A356" t="s">
        <v>423</v>
      </c>
      <c r="B356">
        <v>174</v>
      </c>
      <c r="C356">
        <v>36</v>
      </c>
      <c r="D356" s="2">
        <v>46026.515972222223</v>
      </c>
      <c r="E356">
        <v>149</v>
      </c>
      <c r="F356" t="s">
        <v>66</v>
      </c>
      <c r="G356" t="s">
        <v>64</v>
      </c>
      <c r="H356">
        <v>46</v>
      </c>
      <c r="I356" t="str">
        <f>IFERROR(VLOOKUP($C356,Merchants!$A$2:$D$41,2,FALSE),"Merchant not found")</f>
        <v>Merchant_036</v>
      </c>
      <c r="J356" t="str">
        <f>IFERROR(VLOOKUP($C356,Merchants!$A$2:$D$41,3,FALSE),"Merchant not found")</f>
        <v>entertainment</v>
      </c>
      <c r="K356" t="str">
        <f>IFERROR(VLOOKUP($C356,Merchants!$A$2:$D$41,4,FALSE),"Merchant not found")</f>
        <v>East</v>
      </c>
      <c r="L356" s="3">
        <f>IFERROR(HLOOKUP(F356,Fee_Lookup!$B$1:$E$2,2,FALSE),"Method not found")</f>
        <v>5.0000000000000001E-3</v>
      </c>
      <c r="M356" s="6">
        <f t="shared" si="10"/>
        <v>0.745</v>
      </c>
      <c r="N356" s="8">
        <f t="shared" si="11"/>
        <v>46026</v>
      </c>
    </row>
    <row r="357" spans="1:14" x14ac:dyDescent="0.4">
      <c r="A357" t="s">
        <v>424</v>
      </c>
      <c r="B357">
        <v>309</v>
      </c>
      <c r="C357">
        <v>33</v>
      </c>
      <c r="D357" s="2">
        <v>46047.175000000003</v>
      </c>
      <c r="E357">
        <v>99</v>
      </c>
      <c r="F357" t="s">
        <v>66</v>
      </c>
      <c r="G357" t="s">
        <v>64</v>
      </c>
      <c r="H357">
        <v>51</v>
      </c>
      <c r="I357" t="str">
        <f>IFERROR(VLOOKUP($C357,Merchants!$A$2:$D$41,2,FALSE),"Merchant not found")</f>
        <v>Merchant_033</v>
      </c>
      <c r="J357" t="str">
        <f>IFERROR(VLOOKUP($C357,Merchants!$A$2:$D$41,3,FALSE),"Merchant not found")</f>
        <v>bill_payment</v>
      </c>
      <c r="K357" t="str">
        <f>IFERROR(VLOOKUP($C357,Merchants!$A$2:$D$41,4,FALSE),"Merchant not found")</f>
        <v>East</v>
      </c>
      <c r="L357" s="3">
        <f>IFERROR(HLOOKUP(F357,Fee_Lookup!$B$1:$E$2,2,FALSE),"Method not found")</f>
        <v>5.0000000000000001E-3</v>
      </c>
      <c r="M357" s="6">
        <f t="shared" si="10"/>
        <v>0.495</v>
      </c>
      <c r="N357" s="8">
        <f t="shared" si="11"/>
        <v>46047</v>
      </c>
    </row>
    <row r="358" spans="1:14" x14ac:dyDescent="0.4">
      <c r="A358" t="s">
        <v>425</v>
      </c>
      <c r="B358">
        <v>20</v>
      </c>
      <c r="C358">
        <v>9</v>
      </c>
      <c r="D358" s="2">
        <v>46039.043055555558</v>
      </c>
      <c r="E358">
        <v>99</v>
      </c>
      <c r="F358" t="s">
        <v>66</v>
      </c>
      <c r="G358" t="s">
        <v>64</v>
      </c>
      <c r="H358">
        <v>91</v>
      </c>
      <c r="I358" t="str">
        <f>IFERROR(VLOOKUP($C358,Merchants!$A$2:$D$41,2,FALSE),"Merchant not found")</f>
        <v>Merchant_009</v>
      </c>
      <c r="J358" t="str">
        <f>IFERROR(VLOOKUP($C358,Merchants!$A$2:$D$41,3,FALSE),"Merchant not found")</f>
        <v>ecommerce</v>
      </c>
      <c r="K358" t="str">
        <f>IFERROR(VLOOKUP($C358,Merchants!$A$2:$D$41,4,FALSE),"Merchant not found")</f>
        <v>North</v>
      </c>
      <c r="L358" s="3">
        <f>IFERROR(HLOOKUP(F358,Fee_Lookup!$B$1:$E$2,2,FALSE),"Method not found")</f>
        <v>5.0000000000000001E-3</v>
      </c>
      <c r="M358" s="6">
        <f t="shared" si="10"/>
        <v>0.495</v>
      </c>
      <c r="N358" s="8">
        <f t="shared" si="11"/>
        <v>46039</v>
      </c>
    </row>
    <row r="359" spans="1:14" x14ac:dyDescent="0.4">
      <c r="A359" t="s">
        <v>426</v>
      </c>
      <c r="B359">
        <v>234</v>
      </c>
      <c r="C359">
        <v>10</v>
      </c>
      <c r="D359" s="2">
        <v>46033.647916666669</v>
      </c>
      <c r="E359">
        <v>49</v>
      </c>
      <c r="F359" t="s">
        <v>66</v>
      </c>
      <c r="G359" t="s">
        <v>64</v>
      </c>
      <c r="H359">
        <v>77</v>
      </c>
      <c r="I359" t="str">
        <f>IFERROR(VLOOKUP($C359,Merchants!$A$2:$D$41,2,FALSE),"Merchant not found")</f>
        <v>Merchant_010</v>
      </c>
      <c r="J359" t="str">
        <f>IFERROR(VLOOKUP($C359,Merchants!$A$2:$D$41,3,FALSE),"Merchant not found")</f>
        <v>grocery</v>
      </c>
      <c r="K359" t="str">
        <f>IFERROR(VLOOKUP($C359,Merchants!$A$2:$D$41,4,FALSE),"Merchant not found")</f>
        <v>West</v>
      </c>
      <c r="L359" s="3">
        <f>IFERROR(HLOOKUP(F359,Fee_Lookup!$B$1:$E$2,2,FALSE),"Method not found")</f>
        <v>5.0000000000000001E-3</v>
      </c>
      <c r="M359" s="6">
        <f t="shared" si="10"/>
        <v>0.245</v>
      </c>
      <c r="N359" s="8">
        <f t="shared" si="11"/>
        <v>46033</v>
      </c>
    </row>
    <row r="360" spans="1:14" x14ac:dyDescent="0.4">
      <c r="A360" t="s">
        <v>427</v>
      </c>
      <c r="B360">
        <v>168</v>
      </c>
      <c r="C360">
        <v>40</v>
      </c>
      <c r="D360" s="2">
        <v>46051.672222222223</v>
      </c>
      <c r="E360">
        <v>149</v>
      </c>
      <c r="F360" t="s">
        <v>66</v>
      </c>
      <c r="G360" t="s">
        <v>92</v>
      </c>
      <c r="H360">
        <v>40</v>
      </c>
      <c r="I360" t="str">
        <f>IFERROR(VLOOKUP($C360,Merchants!$A$2:$D$41,2,FALSE),"Merchant not found")</f>
        <v>Merchant_040</v>
      </c>
      <c r="J360" t="str">
        <f>IFERROR(VLOOKUP($C360,Merchants!$A$2:$D$41,3,FALSE),"Merchant not found")</f>
        <v>entertainment</v>
      </c>
      <c r="K360" t="str">
        <f>IFERROR(VLOOKUP($C360,Merchants!$A$2:$D$41,4,FALSE),"Merchant not found")</f>
        <v>South</v>
      </c>
      <c r="L360" s="3">
        <f>IFERROR(HLOOKUP(F360,Fee_Lookup!$B$1:$E$2,2,FALSE),"Method not found")</f>
        <v>5.0000000000000001E-3</v>
      </c>
      <c r="M360" s="6">
        <f t="shared" si="10"/>
        <v>0.745</v>
      </c>
      <c r="N360" s="8">
        <f t="shared" si="11"/>
        <v>46051</v>
      </c>
    </row>
    <row r="361" spans="1:14" x14ac:dyDescent="0.4">
      <c r="A361" t="s">
        <v>428</v>
      </c>
      <c r="B361">
        <v>154</v>
      </c>
      <c r="C361">
        <v>38</v>
      </c>
      <c r="D361" s="2">
        <v>46028.527083333334</v>
      </c>
      <c r="E361">
        <v>99</v>
      </c>
      <c r="F361" t="s">
        <v>69</v>
      </c>
      <c r="G361" t="s">
        <v>64</v>
      </c>
      <c r="H361">
        <v>43</v>
      </c>
      <c r="I361" t="str">
        <f>IFERROR(VLOOKUP($C361,Merchants!$A$2:$D$41,2,FALSE),"Merchant not found")</f>
        <v>Merchant_038</v>
      </c>
      <c r="J361" t="str">
        <f>IFERROR(VLOOKUP($C361,Merchants!$A$2:$D$41,3,FALSE),"Merchant not found")</f>
        <v>grocery</v>
      </c>
      <c r="K361" t="str">
        <f>IFERROR(VLOOKUP($C361,Merchants!$A$2:$D$41,4,FALSE),"Merchant not found")</f>
        <v>East</v>
      </c>
      <c r="L361" s="3">
        <f>IFERROR(HLOOKUP(F361,Fee_Lookup!$B$1:$E$2,2,FALSE),"Method not found")</f>
        <v>0.01</v>
      </c>
      <c r="M361" s="6">
        <f t="shared" si="10"/>
        <v>0.99</v>
      </c>
      <c r="N361" s="8">
        <f t="shared" si="11"/>
        <v>46028</v>
      </c>
    </row>
    <row r="362" spans="1:14" x14ac:dyDescent="0.4">
      <c r="A362" t="s">
        <v>429</v>
      </c>
      <c r="B362">
        <v>251</v>
      </c>
      <c r="C362">
        <v>37</v>
      </c>
      <c r="D362" s="2">
        <v>46039.69027777778</v>
      </c>
      <c r="E362">
        <v>49</v>
      </c>
      <c r="F362" t="s">
        <v>66</v>
      </c>
      <c r="G362" t="s">
        <v>64</v>
      </c>
      <c r="H362">
        <v>38</v>
      </c>
      <c r="I362" t="str">
        <f>IFERROR(VLOOKUP($C362,Merchants!$A$2:$D$41,2,FALSE),"Merchant not found")</f>
        <v>Merchant_037</v>
      </c>
      <c r="J362" t="str">
        <f>IFERROR(VLOOKUP($C362,Merchants!$A$2:$D$41,3,FALSE),"Merchant not found")</f>
        <v>entertainment</v>
      </c>
      <c r="K362" t="str">
        <f>IFERROR(VLOOKUP($C362,Merchants!$A$2:$D$41,4,FALSE),"Merchant not found")</f>
        <v>South</v>
      </c>
      <c r="L362" s="3">
        <f>IFERROR(HLOOKUP(F362,Fee_Lookup!$B$1:$E$2,2,FALSE),"Method not found")</f>
        <v>5.0000000000000001E-3</v>
      </c>
      <c r="M362" s="6">
        <f t="shared" si="10"/>
        <v>0.245</v>
      </c>
      <c r="N362" s="8">
        <f t="shared" si="11"/>
        <v>46039</v>
      </c>
    </row>
    <row r="363" spans="1:14" x14ac:dyDescent="0.4">
      <c r="A363" t="s">
        <v>430</v>
      </c>
      <c r="B363">
        <v>170</v>
      </c>
      <c r="C363">
        <v>8</v>
      </c>
      <c r="D363" s="2">
        <v>46038.015972222223</v>
      </c>
      <c r="E363">
        <v>2999</v>
      </c>
      <c r="F363" t="s">
        <v>66</v>
      </c>
      <c r="G363" t="s">
        <v>64</v>
      </c>
      <c r="H363">
        <v>53</v>
      </c>
      <c r="I363" t="str">
        <f>IFERROR(VLOOKUP($C363,Merchants!$A$2:$D$41,2,FALSE),"Merchant not found")</f>
        <v>Merchant_008</v>
      </c>
      <c r="J363" t="str">
        <f>IFERROR(VLOOKUP($C363,Merchants!$A$2:$D$41,3,FALSE),"Merchant not found")</f>
        <v>food_delivery</v>
      </c>
      <c r="K363" t="str">
        <f>IFERROR(VLOOKUP($C363,Merchants!$A$2:$D$41,4,FALSE),"Merchant not found")</f>
        <v>North</v>
      </c>
      <c r="L363" s="3">
        <f>IFERROR(HLOOKUP(F363,Fee_Lookup!$B$1:$E$2,2,FALSE),"Method not found")</f>
        <v>5.0000000000000001E-3</v>
      </c>
      <c r="M363" s="6">
        <f t="shared" si="10"/>
        <v>14.995000000000001</v>
      </c>
      <c r="N363" s="8">
        <f t="shared" si="11"/>
        <v>46038</v>
      </c>
    </row>
    <row r="364" spans="1:14" x14ac:dyDescent="0.4">
      <c r="A364" t="s">
        <v>431</v>
      </c>
      <c r="B364">
        <v>323</v>
      </c>
      <c r="C364">
        <v>2</v>
      </c>
      <c r="D364" s="2">
        <v>46041.409722222219</v>
      </c>
      <c r="E364">
        <v>49</v>
      </c>
      <c r="F364" t="s">
        <v>69</v>
      </c>
      <c r="G364" t="s">
        <v>64</v>
      </c>
      <c r="H364">
        <v>76</v>
      </c>
      <c r="I364" t="str">
        <f>IFERROR(VLOOKUP($C364,Merchants!$A$2:$D$41,2,FALSE),"Merchant not found")</f>
        <v>Merchant_002</v>
      </c>
      <c r="J364" t="str">
        <f>IFERROR(VLOOKUP($C364,Merchants!$A$2:$D$41,3,FALSE),"Merchant not found")</f>
        <v>grocery</v>
      </c>
      <c r="K364" t="str">
        <f>IFERROR(VLOOKUP($C364,Merchants!$A$2:$D$41,4,FALSE),"Merchant not found")</f>
        <v>West</v>
      </c>
      <c r="L364" s="3">
        <f>IFERROR(HLOOKUP(F364,Fee_Lookup!$B$1:$E$2,2,FALSE),"Method not found")</f>
        <v>0.01</v>
      </c>
      <c r="M364" s="6">
        <f t="shared" si="10"/>
        <v>0.49</v>
      </c>
      <c r="N364" s="8">
        <f t="shared" si="11"/>
        <v>46041</v>
      </c>
    </row>
    <row r="365" spans="1:14" x14ac:dyDescent="0.4">
      <c r="A365" t="s">
        <v>432</v>
      </c>
      <c r="B365">
        <v>297</v>
      </c>
      <c r="C365">
        <v>37</v>
      </c>
      <c r="D365" s="2">
        <v>46038.361805555556</v>
      </c>
      <c r="E365">
        <v>2999</v>
      </c>
      <c r="F365" t="s">
        <v>63</v>
      </c>
      <c r="G365" t="s">
        <v>64</v>
      </c>
      <c r="H365">
        <v>29</v>
      </c>
      <c r="I365" t="str">
        <f>IFERROR(VLOOKUP($C365,Merchants!$A$2:$D$41,2,FALSE),"Merchant not found")</f>
        <v>Merchant_037</v>
      </c>
      <c r="J365" t="str">
        <f>IFERROR(VLOOKUP($C365,Merchants!$A$2:$D$41,3,FALSE),"Merchant not found")</f>
        <v>entertainment</v>
      </c>
      <c r="K365" t="str">
        <f>IFERROR(VLOOKUP($C365,Merchants!$A$2:$D$41,4,FALSE),"Merchant not found")</f>
        <v>South</v>
      </c>
      <c r="L365" s="3">
        <f>IFERROR(HLOOKUP(F365,Fee_Lookup!$B$1:$E$2,2,FALSE),"Method not found")</f>
        <v>7.4999999999999997E-3</v>
      </c>
      <c r="M365" s="6">
        <f t="shared" si="10"/>
        <v>22.4925</v>
      </c>
      <c r="N365" s="8">
        <f t="shared" si="11"/>
        <v>46038</v>
      </c>
    </row>
    <row r="366" spans="1:14" x14ac:dyDescent="0.4">
      <c r="A366" t="s">
        <v>433</v>
      </c>
      <c r="B366">
        <v>246</v>
      </c>
      <c r="C366">
        <v>11</v>
      </c>
      <c r="D366" s="2">
        <v>46046.067361111112</v>
      </c>
      <c r="E366">
        <v>299</v>
      </c>
      <c r="F366" t="s">
        <v>66</v>
      </c>
      <c r="G366" t="s">
        <v>64</v>
      </c>
      <c r="H366">
        <v>67</v>
      </c>
      <c r="I366" t="str">
        <f>IFERROR(VLOOKUP($C366,Merchants!$A$2:$D$41,2,FALSE),"Merchant not found")</f>
        <v>Merchant_011</v>
      </c>
      <c r="J366" t="str">
        <f>IFERROR(VLOOKUP($C366,Merchants!$A$2:$D$41,3,FALSE),"Merchant not found")</f>
        <v>ecommerce</v>
      </c>
      <c r="K366" t="str">
        <f>IFERROR(VLOOKUP($C366,Merchants!$A$2:$D$41,4,FALSE),"Merchant not found")</f>
        <v>North</v>
      </c>
      <c r="L366" s="3">
        <f>IFERROR(HLOOKUP(F366,Fee_Lookup!$B$1:$E$2,2,FALSE),"Method not found")</f>
        <v>5.0000000000000001E-3</v>
      </c>
      <c r="M366" s="6">
        <f t="shared" si="10"/>
        <v>1.4950000000000001</v>
      </c>
      <c r="N366" s="8">
        <f t="shared" si="11"/>
        <v>46046</v>
      </c>
    </row>
    <row r="367" spans="1:14" x14ac:dyDescent="0.4">
      <c r="A367" t="s">
        <v>434</v>
      </c>
      <c r="B367">
        <v>195</v>
      </c>
      <c r="C367">
        <v>10</v>
      </c>
      <c r="D367" s="2">
        <v>46043.98541666667</v>
      </c>
      <c r="E367">
        <v>99</v>
      </c>
      <c r="F367" t="s">
        <v>66</v>
      </c>
      <c r="G367" t="s">
        <v>64</v>
      </c>
      <c r="H367">
        <v>87</v>
      </c>
      <c r="I367" t="str">
        <f>IFERROR(VLOOKUP($C367,Merchants!$A$2:$D$41,2,FALSE),"Merchant not found")</f>
        <v>Merchant_010</v>
      </c>
      <c r="J367" t="str">
        <f>IFERROR(VLOOKUP($C367,Merchants!$A$2:$D$41,3,FALSE),"Merchant not found")</f>
        <v>grocery</v>
      </c>
      <c r="K367" t="str">
        <f>IFERROR(VLOOKUP($C367,Merchants!$A$2:$D$41,4,FALSE),"Merchant not found")</f>
        <v>West</v>
      </c>
      <c r="L367" s="3">
        <f>IFERROR(HLOOKUP(F367,Fee_Lookup!$B$1:$E$2,2,FALSE),"Method not found")</f>
        <v>5.0000000000000001E-3</v>
      </c>
      <c r="M367" s="6">
        <f t="shared" si="10"/>
        <v>0.495</v>
      </c>
      <c r="N367" s="8">
        <f t="shared" si="11"/>
        <v>46043</v>
      </c>
    </row>
    <row r="368" spans="1:14" x14ac:dyDescent="0.4">
      <c r="A368" t="s">
        <v>435</v>
      </c>
      <c r="B368">
        <v>57</v>
      </c>
      <c r="C368">
        <v>13</v>
      </c>
      <c r="D368" s="2">
        <v>46030.066666666666</v>
      </c>
      <c r="E368">
        <v>149</v>
      </c>
      <c r="F368" t="s">
        <v>66</v>
      </c>
      <c r="G368" t="s">
        <v>64</v>
      </c>
      <c r="H368">
        <v>2</v>
      </c>
      <c r="I368" t="str">
        <f>IFERROR(VLOOKUP($C368,Merchants!$A$2:$D$41,2,FALSE),"Merchant not found")</f>
        <v>Merchant_013</v>
      </c>
      <c r="J368" t="str">
        <f>IFERROR(VLOOKUP($C368,Merchants!$A$2:$D$41,3,FALSE),"Merchant not found")</f>
        <v>travel</v>
      </c>
      <c r="K368" t="str">
        <f>IFERROR(VLOOKUP($C368,Merchants!$A$2:$D$41,4,FALSE),"Merchant not found")</f>
        <v>East</v>
      </c>
      <c r="L368" s="3">
        <f>IFERROR(HLOOKUP(F368,Fee_Lookup!$B$1:$E$2,2,FALSE),"Method not found")</f>
        <v>5.0000000000000001E-3</v>
      </c>
      <c r="M368" s="6">
        <f t="shared" si="10"/>
        <v>0.745</v>
      </c>
      <c r="N368" s="8">
        <f t="shared" si="11"/>
        <v>46030</v>
      </c>
    </row>
    <row r="369" spans="1:14" x14ac:dyDescent="0.4">
      <c r="A369" t="s">
        <v>436</v>
      </c>
      <c r="B369">
        <v>78</v>
      </c>
      <c r="C369">
        <v>27</v>
      </c>
      <c r="D369" s="2">
        <v>46037.43472222222</v>
      </c>
      <c r="E369">
        <v>1499</v>
      </c>
      <c r="F369" t="s">
        <v>69</v>
      </c>
      <c r="G369" t="s">
        <v>79</v>
      </c>
      <c r="H369">
        <v>88</v>
      </c>
      <c r="I369" t="str">
        <f>IFERROR(VLOOKUP($C369,Merchants!$A$2:$D$41,2,FALSE),"Merchant not found")</f>
        <v>Merchant_027</v>
      </c>
      <c r="J369" t="str">
        <f>IFERROR(VLOOKUP($C369,Merchants!$A$2:$D$41,3,FALSE),"Merchant not found")</f>
        <v>ecommerce</v>
      </c>
      <c r="K369" t="str">
        <f>IFERROR(VLOOKUP($C369,Merchants!$A$2:$D$41,4,FALSE),"Merchant not found")</f>
        <v>North</v>
      </c>
      <c r="L369" s="3">
        <f>IFERROR(HLOOKUP(F369,Fee_Lookup!$B$1:$E$2,2,FALSE),"Method not found")</f>
        <v>0.01</v>
      </c>
      <c r="M369" s="6">
        <f t="shared" si="10"/>
        <v>14.99</v>
      </c>
      <c r="N369" s="8">
        <f t="shared" si="11"/>
        <v>46037</v>
      </c>
    </row>
    <row r="370" spans="1:14" x14ac:dyDescent="0.4">
      <c r="A370" t="s">
        <v>437</v>
      </c>
      <c r="B370">
        <v>314</v>
      </c>
      <c r="C370">
        <v>31</v>
      </c>
      <c r="D370" s="2">
        <v>46029.563888888886</v>
      </c>
      <c r="E370">
        <v>49</v>
      </c>
      <c r="F370" t="s">
        <v>66</v>
      </c>
      <c r="G370" t="s">
        <v>92</v>
      </c>
      <c r="H370">
        <v>94</v>
      </c>
      <c r="I370" t="str">
        <f>IFERROR(VLOOKUP($C370,Merchants!$A$2:$D$41,2,FALSE),"Merchant not found")</f>
        <v>Merchant_031</v>
      </c>
      <c r="J370" t="str">
        <f>IFERROR(VLOOKUP($C370,Merchants!$A$2:$D$41,3,FALSE),"Merchant not found")</f>
        <v>bill_payment</v>
      </c>
      <c r="K370" t="str">
        <f>IFERROR(VLOOKUP($C370,Merchants!$A$2:$D$41,4,FALSE),"Merchant not found")</f>
        <v>East</v>
      </c>
      <c r="L370" s="3">
        <f>IFERROR(HLOOKUP(F370,Fee_Lookup!$B$1:$E$2,2,FALSE),"Method not found")</f>
        <v>5.0000000000000001E-3</v>
      </c>
      <c r="M370" s="6">
        <f t="shared" si="10"/>
        <v>0.245</v>
      </c>
      <c r="N370" s="8">
        <f t="shared" si="11"/>
        <v>46029</v>
      </c>
    </row>
    <row r="371" spans="1:14" x14ac:dyDescent="0.4">
      <c r="A371" t="s">
        <v>438</v>
      </c>
      <c r="B371">
        <v>71</v>
      </c>
      <c r="C371">
        <v>34</v>
      </c>
      <c r="D371" s="2">
        <v>46046.072916666664</v>
      </c>
      <c r="E371">
        <v>499</v>
      </c>
      <c r="F371" t="s">
        <v>66</v>
      </c>
      <c r="G371" t="s">
        <v>64</v>
      </c>
      <c r="H371">
        <v>26</v>
      </c>
      <c r="I371" t="str">
        <f>IFERROR(VLOOKUP($C371,Merchants!$A$2:$D$41,2,FALSE),"Merchant not found")</f>
        <v>Merchant_034</v>
      </c>
      <c r="J371" t="str">
        <f>IFERROR(VLOOKUP($C371,Merchants!$A$2:$D$41,3,FALSE),"Merchant not found")</f>
        <v>travel</v>
      </c>
      <c r="K371" t="str">
        <f>IFERROR(VLOOKUP($C371,Merchants!$A$2:$D$41,4,FALSE),"Merchant not found")</f>
        <v>South</v>
      </c>
      <c r="L371" s="3">
        <f>IFERROR(HLOOKUP(F371,Fee_Lookup!$B$1:$E$2,2,FALSE),"Method not found")</f>
        <v>5.0000000000000001E-3</v>
      </c>
      <c r="M371" s="6">
        <f t="shared" si="10"/>
        <v>2.4950000000000001</v>
      </c>
      <c r="N371" s="8">
        <f t="shared" si="11"/>
        <v>46046</v>
      </c>
    </row>
    <row r="372" spans="1:14" x14ac:dyDescent="0.4">
      <c r="A372" t="s">
        <v>439</v>
      </c>
      <c r="B372">
        <v>245</v>
      </c>
      <c r="C372">
        <v>34</v>
      </c>
      <c r="D372" s="2">
        <v>46040.445833333331</v>
      </c>
      <c r="E372">
        <v>99</v>
      </c>
      <c r="F372" t="s">
        <v>66</v>
      </c>
      <c r="G372" t="s">
        <v>64</v>
      </c>
      <c r="H372">
        <v>48</v>
      </c>
      <c r="I372" t="str">
        <f>IFERROR(VLOOKUP($C372,Merchants!$A$2:$D$41,2,FALSE),"Merchant not found")</f>
        <v>Merchant_034</v>
      </c>
      <c r="J372" t="str">
        <f>IFERROR(VLOOKUP($C372,Merchants!$A$2:$D$41,3,FALSE),"Merchant not found")</f>
        <v>travel</v>
      </c>
      <c r="K372" t="str">
        <f>IFERROR(VLOOKUP($C372,Merchants!$A$2:$D$41,4,FALSE),"Merchant not found")</f>
        <v>South</v>
      </c>
      <c r="L372" s="3">
        <f>IFERROR(HLOOKUP(F372,Fee_Lookup!$B$1:$E$2,2,FALSE),"Method not found")</f>
        <v>5.0000000000000001E-3</v>
      </c>
      <c r="M372" s="6">
        <f t="shared" si="10"/>
        <v>0.495</v>
      </c>
      <c r="N372" s="8">
        <f t="shared" si="11"/>
        <v>46040</v>
      </c>
    </row>
    <row r="373" spans="1:14" x14ac:dyDescent="0.4">
      <c r="A373" t="s">
        <v>440</v>
      </c>
      <c r="B373">
        <v>273</v>
      </c>
      <c r="C373">
        <v>22</v>
      </c>
      <c r="D373" s="2">
        <v>46033.228472222225</v>
      </c>
      <c r="E373">
        <v>299</v>
      </c>
      <c r="F373" t="s">
        <v>63</v>
      </c>
      <c r="G373" t="s">
        <v>64</v>
      </c>
      <c r="H373">
        <v>69</v>
      </c>
      <c r="I373" t="str">
        <f>IFERROR(VLOOKUP($C373,Merchants!$A$2:$D$41,2,FALSE),"Merchant not found")</f>
        <v>Merchant_022</v>
      </c>
      <c r="J373" t="str">
        <f>IFERROR(VLOOKUP($C373,Merchants!$A$2:$D$41,3,FALSE),"Merchant not found")</f>
        <v>travel</v>
      </c>
      <c r="K373" t="str">
        <f>IFERROR(VLOOKUP($C373,Merchants!$A$2:$D$41,4,FALSE),"Merchant not found")</f>
        <v>South</v>
      </c>
      <c r="L373" s="3">
        <f>IFERROR(HLOOKUP(F373,Fee_Lookup!$B$1:$E$2,2,FALSE),"Method not found")</f>
        <v>7.4999999999999997E-3</v>
      </c>
      <c r="M373" s="6">
        <f t="shared" si="10"/>
        <v>2.2424999999999997</v>
      </c>
      <c r="N373" s="8">
        <f t="shared" si="11"/>
        <v>46033</v>
      </c>
    </row>
    <row r="374" spans="1:14" x14ac:dyDescent="0.4">
      <c r="A374" t="s">
        <v>441</v>
      </c>
      <c r="B374">
        <v>349</v>
      </c>
      <c r="C374">
        <v>17</v>
      </c>
      <c r="D374" s="2">
        <v>46034.90902777778</v>
      </c>
      <c r="E374">
        <v>1499</v>
      </c>
      <c r="F374" t="s">
        <v>66</v>
      </c>
      <c r="G374" t="s">
        <v>64</v>
      </c>
      <c r="H374">
        <v>78</v>
      </c>
      <c r="I374" t="str">
        <f>IFERROR(VLOOKUP($C374,Merchants!$A$2:$D$41,2,FALSE),"Merchant not found")</f>
        <v>Merchant_017</v>
      </c>
      <c r="J374" t="str">
        <f>IFERROR(VLOOKUP($C374,Merchants!$A$2:$D$41,3,FALSE),"Merchant not found")</f>
        <v>grocery</v>
      </c>
      <c r="K374" t="str">
        <f>IFERROR(VLOOKUP($C374,Merchants!$A$2:$D$41,4,FALSE),"Merchant not found")</f>
        <v>North</v>
      </c>
      <c r="L374" s="3">
        <f>IFERROR(HLOOKUP(F374,Fee_Lookup!$B$1:$E$2,2,FALSE),"Method not found")</f>
        <v>5.0000000000000001E-3</v>
      </c>
      <c r="M374" s="6">
        <f t="shared" si="10"/>
        <v>7.4950000000000001</v>
      </c>
      <c r="N374" s="8">
        <f t="shared" si="11"/>
        <v>46034</v>
      </c>
    </row>
    <row r="375" spans="1:14" x14ac:dyDescent="0.4">
      <c r="A375" t="s">
        <v>442</v>
      </c>
      <c r="B375">
        <v>143</v>
      </c>
      <c r="C375">
        <v>36</v>
      </c>
      <c r="D375" s="2">
        <v>46038.260416666664</v>
      </c>
      <c r="E375">
        <v>1499</v>
      </c>
      <c r="F375" t="s">
        <v>69</v>
      </c>
      <c r="G375" t="s">
        <v>64</v>
      </c>
      <c r="H375">
        <v>38</v>
      </c>
      <c r="I375" t="str">
        <f>IFERROR(VLOOKUP($C375,Merchants!$A$2:$D$41,2,FALSE),"Merchant not found")</f>
        <v>Merchant_036</v>
      </c>
      <c r="J375" t="str">
        <f>IFERROR(VLOOKUP($C375,Merchants!$A$2:$D$41,3,FALSE),"Merchant not found")</f>
        <v>entertainment</v>
      </c>
      <c r="K375" t="str">
        <f>IFERROR(VLOOKUP($C375,Merchants!$A$2:$D$41,4,FALSE),"Merchant not found")</f>
        <v>East</v>
      </c>
      <c r="L375" s="3">
        <f>IFERROR(HLOOKUP(F375,Fee_Lookup!$B$1:$E$2,2,FALSE),"Method not found")</f>
        <v>0.01</v>
      </c>
      <c r="M375" s="6">
        <f t="shared" si="10"/>
        <v>14.99</v>
      </c>
      <c r="N375" s="8">
        <f t="shared" si="11"/>
        <v>46038</v>
      </c>
    </row>
    <row r="376" spans="1:14" x14ac:dyDescent="0.4">
      <c r="A376" t="s">
        <v>443</v>
      </c>
      <c r="B376">
        <v>148</v>
      </c>
      <c r="C376">
        <v>14</v>
      </c>
      <c r="D376" s="2">
        <v>46030.40902777778</v>
      </c>
      <c r="E376">
        <v>799</v>
      </c>
      <c r="F376" t="s">
        <v>63</v>
      </c>
      <c r="G376" t="s">
        <v>64</v>
      </c>
      <c r="H376">
        <v>88</v>
      </c>
      <c r="I376" t="str">
        <f>IFERROR(VLOOKUP($C376,Merchants!$A$2:$D$41,2,FALSE),"Merchant not found")</f>
        <v>Merchant_014</v>
      </c>
      <c r="J376" t="str">
        <f>IFERROR(VLOOKUP($C376,Merchants!$A$2:$D$41,3,FALSE),"Merchant not found")</f>
        <v>grocery</v>
      </c>
      <c r="K376" t="str">
        <f>IFERROR(VLOOKUP($C376,Merchants!$A$2:$D$41,4,FALSE),"Merchant not found")</f>
        <v>East</v>
      </c>
      <c r="L376" s="3">
        <f>IFERROR(HLOOKUP(F376,Fee_Lookup!$B$1:$E$2,2,FALSE),"Method not found")</f>
        <v>7.4999999999999997E-3</v>
      </c>
      <c r="M376" s="6">
        <f t="shared" si="10"/>
        <v>5.9924999999999997</v>
      </c>
      <c r="N376" s="8">
        <f t="shared" si="11"/>
        <v>46030</v>
      </c>
    </row>
    <row r="377" spans="1:14" x14ac:dyDescent="0.4">
      <c r="A377" t="s">
        <v>444</v>
      </c>
      <c r="B377">
        <v>246</v>
      </c>
      <c r="C377">
        <v>23</v>
      </c>
      <c r="D377" s="2">
        <v>46045.638888888891</v>
      </c>
      <c r="E377">
        <v>49</v>
      </c>
      <c r="F377" t="s">
        <v>66</v>
      </c>
      <c r="G377" t="s">
        <v>64</v>
      </c>
      <c r="H377">
        <v>71</v>
      </c>
      <c r="I377" t="str">
        <f>IFERROR(VLOOKUP($C377,Merchants!$A$2:$D$41,2,FALSE),"Merchant not found")</f>
        <v>Merchant_023</v>
      </c>
      <c r="J377" t="str">
        <f>IFERROR(VLOOKUP($C377,Merchants!$A$2:$D$41,3,FALSE),"Merchant not found")</f>
        <v>travel</v>
      </c>
      <c r="K377" t="str">
        <f>IFERROR(VLOOKUP($C377,Merchants!$A$2:$D$41,4,FALSE),"Merchant not found")</f>
        <v>North</v>
      </c>
      <c r="L377" s="3">
        <f>IFERROR(HLOOKUP(F377,Fee_Lookup!$B$1:$E$2,2,FALSE),"Method not found")</f>
        <v>5.0000000000000001E-3</v>
      </c>
      <c r="M377" s="6">
        <f t="shared" si="10"/>
        <v>0.245</v>
      </c>
      <c r="N377" s="8">
        <f t="shared" si="11"/>
        <v>46045</v>
      </c>
    </row>
    <row r="378" spans="1:14" x14ac:dyDescent="0.4">
      <c r="A378" t="s">
        <v>445</v>
      </c>
      <c r="B378">
        <v>148</v>
      </c>
      <c r="C378">
        <v>8</v>
      </c>
      <c r="D378" s="2">
        <v>46052.970138888886</v>
      </c>
      <c r="E378">
        <v>99</v>
      </c>
      <c r="F378" t="s">
        <v>63</v>
      </c>
      <c r="G378" t="s">
        <v>64</v>
      </c>
      <c r="H378">
        <v>73</v>
      </c>
      <c r="I378" t="str">
        <f>IFERROR(VLOOKUP($C378,Merchants!$A$2:$D$41,2,FALSE),"Merchant not found")</f>
        <v>Merchant_008</v>
      </c>
      <c r="J378" t="str">
        <f>IFERROR(VLOOKUP($C378,Merchants!$A$2:$D$41,3,FALSE),"Merchant not found")</f>
        <v>food_delivery</v>
      </c>
      <c r="K378" t="str">
        <f>IFERROR(VLOOKUP($C378,Merchants!$A$2:$D$41,4,FALSE),"Merchant not found")</f>
        <v>North</v>
      </c>
      <c r="L378" s="3">
        <f>IFERROR(HLOOKUP(F378,Fee_Lookup!$B$1:$E$2,2,FALSE),"Method not found")</f>
        <v>7.4999999999999997E-3</v>
      </c>
      <c r="M378" s="6">
        <f t="shared" si="10"/>
        <v>0.74249999999999994</v>
      </c>
      <c r="N378" s="8">
        <f t="shared" si="11"/>
        <v>46052</v>
      </c>
    </row>
    <row r="379" spans="1:14" x14ac:dyDescent="0.4">
      <c r="A379" t="s">
        <v>446</v>
      </c>
      <c r="B379">
        <v>203</v>
      </c>
      <c r="C379">
        <v>23</v>
      </c>
      <c r="D379" s="2">
        <v>46044.724999999999</v>
      </c>
      <c r="E379">
        <v>49</v>
      </c>
      <c r="F379" t="s">
        <v>66</v>
      </c>
      <c r="G379" t="s">
        <v>64</v>
      </c>
      <c r="H379">
        <v>98</v>
      </c>
      <c r="I379" t="str">
        <f>IFERROR(VLOOKUP($C379,Merchants!$A$2:$D$41,2,FALSE),"Merchant not found")</f>
        <v>Merchant_023</v>
      </c>
      <c r="J379" t="str">
        <f>IFERROR(VLOOKUP($C379,Merchants!$A$2:$D$41,3,FALSE),"Merchant not found")</f>
        <v>travel</v>
      </c>
      <c r="K379" t="str">
        <f>IFERROR(VLOOKUP($C379,Merchants!$A$2:$D$41,4,FALSE),"Merchant not found")</f>
        <v>North</v>
      </c>
      <c r="L379" s="3">
        <f>IFERROR(HLOOKUP(F379,Fee_Lookup!$B$1:$E$2,2,FALSE),"Method not found")</f>
        <v>5.0000000000000001E-3</v>
      </c>
      <c r="M379" s="6">
        <f t="shared" si="10"/>
        <v>0.245</v>
      </c>
      <c r="N379" s="8">
        <f t="shared" si="11"/>
        <v>46044</v>
      </c>
    </row>
    <row r="380" spans="1:14" x14ac:dyDescent="0.4">
      <c r="A380" t="s">
        <v>447</v>
      </c>
      <c r="B380">
        <v>22</v>
      </c>
      <c r="C380">
        <v>19</v>
      </c>
      <c r="D380" s="2">
        <v>46048.179166666669</v>
      </c>
      <c r="E380">
        <v>49</v>
      </c>
      <c r="F380" t="s">
        <v>78</v>
      </c>
      <c r="G380" t="s">
        <v>64</v>
      </c>
      <c r="H380">
        <v>91</v>
      </c>
      <c r="I380" t="str">
        <f>IFERROR(VLOOKUP($C380,Merchants!$A$2:$D$41,2,FALSE),"Merchant not found")</f>
        <v>Merchant_019</v>
      </c>
      <c r="J380" t="str">
        <f>IFERROR(VLOOKUP($C380,Merchants!$A$2:$D$41,3,FALSE),"Merchant not found")</f>
        <v>grocery</v>
      </c>
      <c r="K380" t="str">
        <f>IFERROR(VLOOKUP($C380,Merchants!$A$2:$D$41,4,FALSE),"Merchant not found")</f>
        <v>North</v>
      </c>
      <c r="L380" s="3">
        <f>IFERROR(HLOOKUP(F380,Fee_Lookup!$B$1:$E$2,2,FALSE),"Method not found")</f>
        <v>1.2E-2</v>
      </c>
      <c r="M380" s="6">
        <f t="shared" si="10"/>
        <v>0.58799999999999997</v>
      </c>
      <c r="N380" s="8">
        <f t="shared" si="11"/>
        <v>46048</v>
      </c>
    </row>
    <row r="381" spans="1:14" x14ac:dyDescent="0.4">
      <c r="A381" t="s">
        <v>448</v>
      </c>
      <c r="B381">
        <v>227</v>
      </c>
      <c r="C381">
        <v>17</v>
      </c>
      <c r="D381" s="2">
        <v>46025.499305555553</v>
      </c>
      <c r="E381">
        <v>299</v>
      </c>
      <c r="F381" t="s">
        <v>63</v>
      </c>
      <c r="G381" t="s">
        <v>64</v>
      </c>
      <c r="H381">
        <v>95</v>
      </c>
      <c r="I381" t="str">
        <f>IFERROR(VLOOKUP($C381,Merchants!$A$2:$D$41,2,FALSE),"Merchant not found")</f>
        <v>Merchant_017</v>
      </c>
      <c r="J381" t="str">
        <f>IFERROR(VLOOKUP($C381,Merchants!$A$2:$D$41,3,FALSE),"Merchant not found")</f>
        <v>grocery</v>
      </c>
      <c r="K381" t="str">
        <f>IFERROR(VLOOKUP($C381,Merchants!$A$2:$D$41,4,FALSE),"Merchant not found")</f>
        <v>North</v>
      </c>
      <c r="L381" s="3">
        <f>IFERROR(HLOOKUP(F381,Fee_Lookup!$B$1:$E$2,2,FALSE),"Method not found")</f>
        <v>7.4999999999999997E-3</v>
      </c>
      <c r="M381" s="6">
        <f t="shared" si="10"/>
        <v>2.2424999999999997</v>
      </c>
      <c r="N381" s="8">
        <f t="shared" si="11"/>
        <v>46025</v>
      </c>
    </row>
    <row r="382" spans="1:14" x14ac:dyDescent="0.4">
      <c r="A382" t="s">
        <v>449</v>
      </c>
      <c r="B382">
        <v>276</v>
      </c>
      <c r="C382">
        <v>18</v>
      </c>
      <c r="D382" s="2">
        <v>46038.258333333331</v>
      </c>
      <c r="E382">
        <v>149</v>
      </c>
      <c r="F382" t="s">
        <v>63</v>
      </c>
      <c r="G382" t="s">
        <v>64</v>
      </c>
      <c r="H382">
        <v>71</v>
      </c>
      <c r="I382" t="str">
        <f>IFERROR(VLOOKUP($C382,Merchants!$A$2:$D$41,2,FALSE),"Merchant not found")</f>
        <v>Merchant_018</v>
      </c>
      <c r="J382" t="str">
        <f>IFERROR(VLOOKUP($C382,Merchants!$A$2:$D$41,3,FALSE),"Merchant not found")</f>
        <v>grocery</v>
      </c>
      <c r="K382" t="str">
        <f>IFERROR(VLOOKUP($C382,Merchants!$A$2:$D$41,4,FALSE),"Merchant not found")</f>
        <v>West</v>
      </c>
      <c r="L382" s="3">
        <f>IFERROR(HLOOKUP(F382,Fee_Lookup!$B$1:$E$2,2,FALSE),"Method not found")</f>
        <v>7.4999999999999997E-3</v>
      </c>
      <c r="M382" s="6">
        <f t="shared" si="10"/>
        <v>1.1174999999999999</v>
      </c>
      <c r="N382" s="8">
        <f t="shared" si="11"/>
        <v>46038</v>
      </c>
    </row>
    <row r="383" spans="1:14" x14ac:dyDescent="0.4">
      <c r="A383" t="s">
        <v>450</v>
      </c>
      <c r="B383">
        <v>56</v>
      </c>
      <c r="C383">
        <v>40</v>
      </c>
      <c r="D383" s="2">
        <v>46045.338888888888</v>
      </c>
      <c r="E383">
        <v>99</v>
      </c>
      <c r="F383" t="s">
        <v>78</v>
      </c>
      <c r="G383" t="s">
        <v>64</v>
      </c>
      <c r="H383">
        <v>94</v>
      </c>
      <c r="I383" t="str">
        <f>IFERROR(VLOOKUP($C383,Merchants!$A$2:$D$41,2,FALSE),"Merchant not found")</f>
        <v>Merchant_040</v>
      </c>
      <c r="J383" t="str">
        <f>IFERROR(VLOOKUP($C383,Merchants!$A$2:$D$41,3,FALSE),"Merchant not found")</f>
        <v>entertainment</v>
      </c>
      <c r="K383" t="str">
        <f>IFERROR(VLOOKUP($C383,Merchants!$A$2:$D$41,4,FALSE),"Merchant not found")</f>
        <v>South</v>
      </c>
      <c r="L383" s="3">
        <f>IFERROR(HLOOKUP(F383,Fee_Lookup!$B$1:$E$2,2,FALSE),"Method not found")</f>
        <v>1.2E-2</v>
      </c>
      <c r="M383" s="6">
        <f t="shared" si="10"/>
        <v>1.1879999999999999</v>
      </c>
      <c r="N383" s="8">
        <f t="shared" si="11"/>
        <v>46045</v>
      </c>
    </row>
    <row r="384" spans="1:14" x14ac:dyDescent="0.4">
      <c r="A384" t="s">
        <v>451</v>
      </c>
      <c r="B384">
        <v>26</v>
      </c>
      <c r="C384">
        <v>34</v>
      </c>
      <c r="D384" s="2">
        <v>46041.302083333336</v>
      </c>
      <c r="E384">
        <v>499</v>
      </c>
      <c r="F384" t="s">
        <v>78</v>
      </c>
      <c r="G384" t="s">
        <v>64</v>
      </c>
      <c r="H384">
        <v>28</v>
      </c>
      <c r="I384" t="str">
        <f>IFERROR(VLOOKUP($C384,Merchants!$A$2:$D$41,2,FALSE),"Merchant not found")</f>
        <v>Merchant_034</v>
      </c>
      <c r="J384" t="str">
        <f>IFERROR(VLOOKUP($C384,Merchants!$A$2:$D$41,3,FALSE),"Merchant not found")</f>
        <v>travel</v>
      </c>
      <c r="K384" t="str">
        <f>IFERROR(VLOOKUP($C384,Merchants!$A$2:$D$41,4,FALSE),"Merchant not found")</f>
        <v>South</v>
      </c>
      <c r="L384" s="3">
        <f>IFERROR(HLOOKUP(F384,Fee_Lookup!$B$1:$E$2,2,FALSE),"Method not found")</f>
        <v>1.2E-2</v>
      </c>
      <c r="M384" s="6">
        <f t="shared" si="10"/>
        <v>5.9880000000000004</v>
      </c>
      <c r="N384" s="8">
        <f t="shared" si="11"/>
        <v>46041</v>
      </c>
    </row>
    <row r="385" spans="1:14" x14ac:dyDescent="0.4">
      <c r="A385" t="s">
        <v>452</v>
      </c>
      <c r="B385">
        <v>52</v>
      </c>
      <c r="C385">
        <v>27</v>
      </c>
      <c r="D385" s="2">
        <v>46043.293749999997</v>
      </c>
      <c r="E385">
        <v>499</v>
      </c>
      <c r="F385" t="s">
        <v>78</v>
      </c>
      <c r="G385" t="s">
        <v>64</v>
      </c>
      <c r="H385">
        <v>42</v>
      </c>
      <c r="I385" t="str">
        <f>IFERROR(VLOOKUP($C385,Merchants!$A$2:$D$41,2,FALSE),"Merchant not found")</f>
        <v>Merchant_027</v>
      </c>
      <c r="J385" t="str">
        <f>IFERROR(VLOOKUP($C385,Merchants!$A$2:$D$41,3,FALSE),"Merchant not found")</f>
        <v>ecommerce</v>
      </c>
      <c r="K385" t="str">
        <f>IFERROR(VLOOKUP($C385,Merchants!$A$2:$D$41,4,FALSE),"Merchant not found")</f>
        <v>North</v>
      </c>
      <c r="L385" s="3">
        <f>IFERROR(HLOOKUP(F385,Fee_Lookup!$B$1:$E$2,2,FALSE),"Method not found")</f>
        <v>1.2E-2</v>
      </c>
      <c r="M385" s="6">
        <f t="shared" si="10"/>
        <v>5.9880000000000004</v>
      </c>
      <c r="N385" s="8">
        <f t="shared" si="11"/>
        <v>46043</v>
      </c>
    </row>
    <row r="386" spans="1:14" x14ac:dyDescent="0.4">
      <c r="A386" t="s">
        <v>453</v>
      </c>
      <c r="B386">
        <v>349</v>
      </c>
      <c r="C386">
        <v>9</v>
      </c>
      <c r="D386" s="2">
        <v>46045.629166666666</v>
      </c>
      <c r="E386">
        <v>499</v>
      </c>
      <c r="F386" t="s">
        <v>63</v>
      </c>
      <c r="G386" t="s">
        <v>64</v>
      </c>
      <c r="H386">
        <v>0</v>
      </c>
      <c r="I386" t="str">
        <f>IFERROR(VLOOKUP($C386,Merchants!$A$2:$D$41,2,FALSE),"Merchant not found")</f>
        <v>Merchant_009</v>
      </c>
      <c r="J386" t="str">
        <f>IFERROR(VLOOKUP($C386,Merchants!$A$2:$D$41,3,FALSE),"Merchant not found")</f>
        <v>ecommerce</v>
      </c>
      <c r="K386" t="str">
        <f>IFERROR(VLOOKUP($C386,Merchants!$A$2:$D$41,4,FALSE),"Merchant not found")</f>
        <v>North</v>
      </c>
      <c r="L386" s="3">
        <f>IFERROR(HLOOKUP(F386,Fee_Lookup!$B$1:$E$2,2,FALSE),"Method not found")</f>
        <v>7.4999999999999997E-3</v>
      </c>
      <c r="M386" s="6">
        <f t="shared" si="10"/>
        <v>3.7424999999999997</v>
      </c>
      <c r="N386" s="8">
        <f t="shared" si="11"/>
        <v>46045</v>
      </c>
    </row>
    <row r="387" spans="1:14" x14ac:dyDescent="0.4">
      <c r="A387" t="s">
        <v>454</v>
      </c>
      <c r="B387">
        <v>335</v>
      </c>
      <c r="C387">
        <v>31</v>
      </c>
      <c r="D387" s="2">
        <v>46040.226388888892</v>
      </c>
      <c r="E387">
        <v>49</v>
      </c>
      <c r="F387" t="s">
        <v>78</v>
      </c>
      <c r="G387" t="s">
        <v>64</v>
      </c>
      <c r="H387">
        <v>61</v>
      </c>
      <c r="I387" t="str">
        <f>IFERROR(VLOOKUP($C387,Merchants!$A$2:$D$41,2,FALSE),"Merchant not found")</f>
        <v>Merchant_031</v>
      </c>
      <c r="J387" t="str">
        <f>IFERROR(VLOOKUP($C387,Merchants!$A$2:$D$41,3,FALSE),"Merchant not found")</f>
        <v>bill_payment</v>
      </c>
      <c r="K387" t="str">
        <f>IFERROR(VLOOKUP($C387,Merchants!$A$2:$D$41,4,FALSE),"Merchant not found")</f>
        <v>East</v>
      </c>
      <c r="L387" s="3">
        <f>IFERROR(HLOOKUP(F387,Fee_Lookup!$B$1:$E$2,2,FALSE),"Method not found")</f>
        <v>1.2E-2</v>
      </c>
      <c r="M387" s="6">
        <f t="shared" ref="M387:M450" si="12">E387*L387</f>
        <v>0.58799999999999997</v>
      </c>
      <c r="N387" s="8">
        <f t="shared" ref="N387:N450" si="13">INT(D387)</f>
        <v>46040</v>
      </c>
    </row>
    <row r="388" spans="1:14" x14ac:dyDescent="0.4">
      <c r="A388" t="s">
        <v>455</v>
      </c>
      <c r="B388">
        <v>148</v>
      </c>
      <c r="C388">
        <v>21</v>
      </c>
      <c r="D388" s="2">
        <v>46043.283333333333</v>
      </c>
      <c r="E388">
        <v>49</v>
      </c>
      <c r="F388" t="s">
        <v>78</v>
      </c>
      <c r="G388" t="s">
        <v>64</v>
      </c>
      <c r="H388">
        <v>36</v>
      </c>
      <c r="I388" t="str">
        <f>IFERROR(VLOOKUP($C388,Merchants!$A$2:$D$41,2,FALSE),"Merchant not found")</f>
        <v>Merchant_021</v>
      </c>
      <c r="J388" t="str">
        <f>IFERROR(VLOOKUP($C388,Merchants!$A$2:$D$41,3,FALSE),"Merchant not found")</f>
        <v>food_delivery</v>
      </c>
      <c r="K388" t="str">
        <f>IFERROR(VLOOKUP($C388,Merchants!$A$2:$D$41,4,FALSE),"Merchant not found")</f>
        <v>East</v>
      </c>
      <c r="L388" s="3">
        <f>IFERROR(HLOOKUP(F388,Fee_Lookup!$B$1:$E$2,2,FALSE),"Method not found")</f>
        <v>1.2E-2</v>
      </c>
      <c r="M388" s="6">
        <f t="shared" si="12"/>
        <v>0.58799999999999997</v>
      </c>
      <c r="N388" s="8">
        <f t="shared" si="13"/>
        <v>46043</v>
      </c>
    </row>
    <row r="389" spans="1:14" x14ac:dyDescent="0.4">
      <c r="A389" t="s">
        <v>456</v>
      </c>
      <c r="B389">
        <v>46</v>
      </c>
      <c r="C389">
        <v>37</v>
      </c>
      <c r="D389" s="2">
        <v>46043.081944444442</v>
      </c>
      <c r="E389">
        <v>99</v>
      </c>
      <c r="F389" t="s">
        <v>63</v>
      </c>
      <c r="G389" t="s">
        <v>64</v>
      </c>
      <c r="H389">
        <v>29</v>
      </c>
      <c r="I389" t="str">
        <f>IFERROR(VLOOKUP($C389,Merchants!$A$2:$D$41,2,FALSE),"Merchant not found")</f>
        <v>Merchant_037</v>
      </c>
      <c r="J389" t="str">
        <f>IFERROR(VLOOKUP($C389,Merchants!$A$2:$D$41,3,FALSE),"Merchant not found")</f>
        <v>entertainment</v>
      </c>
      <c r="K389" t="str">
        <f>IFERROR(VLOOKUP($C389,Merchants!$A$2:$D$41,4,FALSE),"Merchant not found")</f>
        <v>South</v>
      </c>
      <c r="L389" s="3">
        <f>IFERROR(HLOOKUP(F389,Fee_Lookup!$B$1:$E$2,2,FALSE),"Method not found")</f>
        <v>7.4999999999999997E-3</v>
      </c>
      <c r="M389" s="6">
        <f t="shared" si="12"/>
        <v>0.74249999999999994</v>
      </c>
      <c r="N389" s="8">
        <f t="shared" si="13"/>
        <v>46043</v>
      </c>
    </row>
    <row r="390" spans="1:14" x14ac:dyDescent="0.4">
      <c r="A390" t="s">
        <v>457</v>
      </c>
      <c r="B390">
        <v>20</v>
      </c>
      <c r="C390">
        <v>12</v>
      </c>
      <c r="D390" s="2">
        <v>46040.990277777775</v>
      </c>
      <c r="E390">
        <v>799</v>
      </c>
      <c r="F390" t="s">
        <v>78</v>
      </c>
      <c r="G390" t="s">
        <v>64</v>
      </c>
      <c r="H390">
        <v>53</v>
      </c>
      <c r="I390" t="str">
        <f>IFERROR(VLOOKUP($C390,Merchants!$A$2:$D$41,2,FALSE),"Merchant not found")</f>
        <v>Merchant_012</v>
      </c>
      <c r="J390" t="str">
        <f>IFERROR(VLOOKUP($C390,Merchants!$A$2:$D$41,3,FALSE),"Merchant not found")</f>
        <v>ecommerce</v>
      </c>
      <c r="K390" t="str">
        <f>IFERROR(VLOOKUP($C390,Merchants!$A$2:$D$41,4,FALSE),"Merchant not found")</f>
        <v>East</v>
      </c>
      <c r="L390" s="3">
        <f>IFERROR(HLOOKUP(F390,Fee_Lookup!$B$1:$E$2,2,FALSE),"Method not found")</f>
        <v>1.2E-2</v>
      </c>
      <c r="M390" s="6">
        <f t="shared" si="12"/>
        <v>9.588000000000001</v>
      </c>
      <c r="N390" s="8">
        <f t="shared" si="13"/>
        <v>46040</v>
      </c>
    </row>
    <row r="391" spans="1:14" x14ac:dyDescent="0.4">
      <c r="A391" t="s">
        <v>458</v>
      </c>
      <c r="B391">
        <v>19</v>
      </c>
      <c r="C391">
        <v>26</v>
      </c>
      <c r="D391" s="2">
        <v>46051.249305555553</v>
      </c>
      <c r="E391">
        <v>49</v>
      </c>
      <c r="F391" t="s">
        <v>66</v>
      </c>
      <c r="G391" t="s">
        <v>64</v>
      </c>
      <c r="H391">
        <v>100</v>
      </c>
      <c r="I391" t="str">
        <f>IFERROR(VLOOKUP($C391,Merchants!$A$2:$D$41,2,FALSE),"Merchant not found")</f>
        <v>Merchant_026</v>
      </c>
      <c r="J391" t="str">
        <f>IFERROR(VLOOKUP($C391,Merchants!$A$2:$D$41,3,FALSE),"Merchant not found")</f>
        <v>food_delivery</v>
      </c>
      <c r="K391" t="str">
        <f>IFERROR(VLOOKUP($C391,Merchants!$A$2:$D$41,4,FALSE),"Merchant not found")</f>
        <v>East</v>
      </c>
      <c r="L391" s="3">
        <f>IFERROR(HLOOKUP(F391,Fee_Lookup!$B$1:$E$2,2,FALSE),"Method not found")</f>
        <v>5.0000000000000001E-3</v>
      </c>
      <c r="M391" s="6">
        <f t="shared" si="12"/>
        <v>0.245</v>
      </c>
      <c r="N391" s="8">
        <f t="shared" si="13"/>
        <v>46051</v>
      </c>
    </row>
    <row r="392" spans="1:14" x14ac:dyDescent="0.4">
      <c r="A392" t="s">
        <v>459</v>
      </c>
      <c r="B392">
        <v>149</v>
      </c>
      <c r="C392">
        <v>3</v>
      </c>
      <c r="D392" s="2">
        <v>46038.249305555553</v>
      </c>
      <c r="E392">
        <v>4999</v>
      </c>
      <c r="F392" t="s">
        <v>63</v>
      </c>
      <c r="G392" t="s">
        <v>64</v>
      </c>
      <c r="H392">
        <v>1</v>
      </c>
      <c r="I392" t="str">
        <f>IFERROR(VLOOKUP($C392,Merchants!$A$2:$D$41,2,FALSE),"Merchant not found")</f>
        <v>Merchant_003</v>
      </c>
      <c r="J392" t="str">
        <f>IFERROR(VLOOKUP($C392,Merchants!$A$2:$D$41,3,FALSE),"Merchant not found")</f>
        <v>grocery</v>
      </c>
      <c r="K392" t="str">
        <f>IFERROR(VLOOKUP($C392,Merchants!$A$2:$D$41,4,FALSE),"Merchant not found")</f>
        <v>East</v>
      </c>
      <c r="L392" s="3">
        <f>IFERROR(HLOOKUP(F392,Fee_Lookup!$B$1:$E$2,2,FALSE),"Method not found")</f>
        <v>7.4999999999999997E-3</v>
      </c>
      <c r="M392" s="6">
        <f t="shared" si="12"/>
        <v>37.4925</v>
      </c>
      <c r="N392" s="8">
        <f t="shared" si="13"/>
        <v>46038</v>
      </c>
    </row>
    <row r="393" spans="1:14" x14ac:dyDescent="0.4">
      <c r="A393" t="s">
        <v>460</v>
      </c>
      <c r="B393">
        <v>55</v>
      </c>
      <c r="C393">
        <v>22</v>
      </c>
      <c r="D393" s="2">
        <v>46032.776388888888</v>
      </c>
      <c r="E393">
        <v>499</v>
      </c>
      <c r="F393" t="s">
        <v>66</v>
      </c>
      <c r="G393" t="s">
        <v>64</v>
      </c>
      <c r="H393">
        <v>36</v>
      </c>
      <c r="I393" t="str">
        <f>IFERROR(VLOOKUP($C393,Merchants!$A$2:$D$41,2,FALSE),"Merchant not found")</f>
        <v>Merchant_022</v>
      </c>
      <c r="J393" t="str">
        <f>IFERROR(VLOOKUP($C393,Merchants!$A$2:$D$41,3,FALSE),"Merchant not found")</f>
        <v>travel</v>
      </c>
      <c r="K393" t="str">
        <f>IFERROR(VLOOKUP($C393,Merchants!$A$2:$D$41,4,FALSE),"Merchant not found")</f>
        <v>South</v>
      </c>
      <c r="L393" s="3">
        <f>IFERROR(HLOOKUP(F393,Fee_Lookup!$B$1:$E$2,2,FALSE),"Method not found")</f>
        <v>5.0000000000000001E-3</v>
      </c>
      <c r="M393" s="6">
        <f t="shared" si="12"/>
        <v>2.4950000000000001</v>
      </c>
      <c r="N393" s="8">
        <f t="shared" si="13"/>
        <v>46032</v>
      </c>
    </row>
    <row r="394" spans="1:14" x14ac:dyDescent="0.4">
      <c r="A394" t="s">
        <v>461</v>
      </c>
      <c r="B394">
        <v>269</v>
      </c>
      <c r="C394">
        <v>32</v>
      </c>
      <c r="D394" s="2">
        <v>46037.856944444444</v>
      </c>
      <c r="E394">
        <v>49</v>
      </c>
      <c r="F394" t="s">
        <v>78</v>
      </c>
      <c r="G394" t="s">
        <v>64</v>
      </c>
      <c r="H394">
        <v>17</v>
      </c>
      <c r="I394" t="str">
        <f>IFERROR(VLOOKUP($C394,Merchants!$A$2:$D$41,2,FALSE),"Merchant not found")</f>
        <v>Merchant_032</v>
      </c>
      <c r="J394" t="str">
        <f>IFERROR(VLOOKUP($C394,Merchants!$A$2:$D$41,3,FALSE),"Merchant not found")</f>
        <v>food_delivery</v>
      </c>
      <c r="K394" t="str">
        <f>IFERROR(VLOOKUP($C394,Merchants!$A$2:$D$41,4,FALSE),"Merchant not found")</f>
        <v>West</v>
      </c>
      <c r="L394" s="3">
        <f>IFERROR(HLOOKUP(F394,Fee_Lookup!$B$1:$E$2,2,FALSE),"Method not found")</f>
        <v>1.2E-2</v>
      </c>
      <c r="M394" s="6">
        <f t="shared" si="12"/>
        <v>0.58799999999999997</v>
      </c>
      <c r="N394" s="8">
        <f t="shared" si="13"/>
        <v>46037</v>
      </c>
    </row>
    <row r="395" spans="1:14" x14ac:dyDescent="0.4">
      <c r="A395" t="s">
        <v>462</v>
      </c>
      <c r="B395">
        <v>140</v>
      </c>
      <c r="C395">
        <v>13</v>
      </c>
      <c r="D395" s="2">
        <v>46050.686805555553</v>
      </c>
      <c r="E395">
        <v>2999</v>
      </c>
      <c r="F395" t="s">
        <v>66</v>
      </c>
      <c r="G395" t="s">
        <v>64</v>
      </c>
      <c r="H395">
        <v>14</v>
      </c>
      <c r="I395" t="str">
        <f>IFERROR(VLOOKUP($C395,Merchants!$A$2:$D$41,2,FALSE),"Merchant not found")</f>
        <v>Merchant_013</v>
      </c>
      <c r="J395" t="str">
        <f>IFERROR(VLOOKUP($C395,Merchants!$A$2:$D$41,3,FALSE),"Merchant not found")</f>
        <v>travel</v>
      </c>
      <c r="K395" t="str">
        <f>IFERROR(VLOOKUP($C395,Merchants!$A$2:$D$41,4,FALSE),"Merchant not found")</f>
        <v>East</v>
      </c>
      <c r="L395" s="3">
        <f>IFERROR(HLOOKUP(F395,Fee_Lookup!$B$1:$E$2,2,FALSE),"Method not found")</f>
        <v>5.0000000000000001E-3</v>
      </c>
      <c r="M395" s="6">
        <f t="shared" si="12"/>
        <v>14.995000000000001</v>
      </c>
      <c r="N395" s="8">
        <f t="shared" si="13"/>
        <v>46050</v>
      </c>
    </row>
    <row r="396" spans="1:14" x14ac:dyDescent="0.4">
      <c r="A396" t="s">
        <v>463</v>
      </c>
      <c r="B396">
        <v>235</v>
      </c>
      <c r="C396">
        <v>17</v>
      </c>
      <c r="D396" s="2">
        <v>46033.240277777775</v>
      </c>
      <c r="E396">
        <v>2999</v>
      </c>
      <c r="F396" t="s">
        <v>66</v>
      </c>
      <c r="G396" t="s">
        <v>64</v>
      </c>
      <c r="H396">
        <v>91</v>
      </c>
      <c r="I396" t="str">
        <f>IFERROR(VLOOKUP($C396,Merchants!$A$2:$D$41,2,FALSE),"Merchant not found")</f>
        <v>Merchant_017</v>
      </c>
      <c r="J396" t="str">
        <f>IFERROR(VLOOKUP($C396,Merchants!$A$2:$D$41,3,FALSE),"Merchant not found")</f>
        <v>grocery</v>
      </c>
      <c r="K396" t="str">
        <f>IFERROR(VLOOKUP($C396,Merchants!$A$2:$D$41,4,FALSE),"Merchant not found")</f>
        <v>North</v>
      </c>
      <c r="L396" s="3">
        <f>IFERROR(HLOOKUP(F396,Fee_Lookup!$B$1:$E$2,2,FALSE),"Method not found")</f>
        <v>5.0000000000000001E-3</v>
      </c>
      <c r="M396" s="6">
        <f t="shared" si="12"/>
        <v>14.995000000000001</v>
      </c>
      <c r="N396" s="8">
        <f t="shared" si="13"/>
        <v>46033</v>
      </c>
    </row>
    <row r="397" spans="1:14" x14ac:dyDescent="0.4">
      <c r="A397" t="s">
        <v>464</v>
      </c>
      <c r="B397">
        <v>173</v>
      </c>
      <c r="C397">
        <v>19</v>
      </c>
      <c r="D397" s="2">
        <v>46028.032638888886</v>
      </c>
      <c r="E397">
        <v>499</v>
      </c>
      <c r="F397" t="s">
        <v>66</v>
      </c>
      <c r="G397" t="s">
        <v>79</v>
      </c>
      <c r="H397">
        <v>72</v>
      </c>
      <c r="I397" t="str">
        <f>IFERROR(VLOOKUP($C397,Merchants!$A$2:$D$41,2,FALSE),"Merchant not found")</f>
        <v>Merchant_019</v>
      </c>
      <c r="J397" t="str">
        <f>IFERROR(VLOOKUP($C397,Merchants!$A$2:$D$41,3,FALSE),"Merchant not found")</f>
        <v>grocery</v>
      </c>
      <c r="K397" t="str">
        <f>IFERROR(VLOOKUP($C397,Merchants!$A$2:$D$41,4,FALSE),"Merchant not found")</f>
        <v>North</v>
      </c>
      <c r="L397" s="3">
        <f>IFERROR(HLOOKUP(F397,Fee_Lookup!$B$1:$E$2,2,FALSE),"Method not found")</f>
        <v>5.0000000000000001E-3</v>
      </c>
      <c r="M397" s="6">
        <f t="shared" si="12"/>
        <v>2.4950000000000001</v>
      </c>
      <c r="N397" s="8">
        <f t="shared" si="13"/>
        <v>46028</v>
      </c>
    </row>
    <row r="398" spans="1:14" x14ac:dyDescent="0.4">
      <c r="A398" t="s">
        <v>465</v>
      </c>
      <c r="B398">
        <v>313</v>
      </c>
      <c r="C398">
        <v>26</v>
      </c>
      <c r="D398" s="2">
        <v>46044.257638888892</v>
      </c>
      <c r="E398">
        <v>499</v>
      </c>
      <c r="F398" t="s">
        <v>66</v>
      </c>
      <c r="G398" t="s">
        <v>64</v>
      </c>
      <c r="H398">
        <v>54</v>
      </c>
      <c r="I398" t="str">
        <f>IFERROR(VLOOKUP($C398,Merchants!$A$2:$D$41,2,FALSE),"Merchant not found")</f>
        <v>Merchant_026</v>
      </c>
      <c r="J398" t="str">
        <f>IFERROR(VLOOKUP($C398,Merchants!$A$2:$D$41,3,FALSE),"Merchant not found")</f>
        <v>food_delivery</v>
      </c>
      <c r="K398" t="str">
        <f>IFERROR(VLOOKUP($C398,Merchants!$A$2:$D$41,4,FALSE),"Merchant not found")</f>
        <v>East</v>
      </c>
      <c r="L398" s="3">
        <f>IFERROR(HLOOKUP(F398,Fee_Lookup!$B$1:$E$2,2,FALSE),"Method not found")</f>
        <v>5.0000000000000001E-3</v>
      </c>
      <c r="M398" s="6">
        <f t="shared" si="12"/>
        <v>2.4950000000000001</v>
      </c>
      <c r="N398" s="8">
        <f t="shared" si="13"/>
        <v>46044</v>
      </c>
    </row>
    <row r="399" spans="1:14" x14ac:dyDescent="0.4">
      <c r="A399" t="s">
        <v>466</v>
      </c>
      <c r="B399">
        <v>206</v>
      </c>
      <c r="C399">
        <v>7</v>
      </c>
      <c r="D399" s="2">
        <v>46039.420138888891</v>
      </c>
      <c r="E399">
        <v>149</v>
      </c>
      <c r="F399" t="s">
        <v>63</v>
      </c>
      <c r="G399" t="s">
        <v>64</v>
      </c>
      <c r="H399">
        <v>23</v>
      </c>
      <c r="I399" t="str">
        <f>IFERROR(VLOOKUP($C399,Merchants!$A$2:$D$41,2,FALSE),"Merchant not found")</f>
        <v>Merchant_007</v>
      </c>
      <c r="J399" t="str">
        <f>IFERROR(VLOOKUP($C399,Merchants!$A$2:$D$41,3,FALSE),"Merchant not found")</f>
        <v>food_delivery</v>
      </c>
      <c r="K399" t="str">
        <f>IFERROR(VLOOKUP($C399,Merchants!$A$2:$D$41,4,FALSE),"Merchant not found")</f>
        <v>East</v>
      </c>
      <c r="L399" s="3">
        <f>IFERROR(HLOOKUP(F399,Fee_Lookup!$B$1:$E$2,2,FALSE),"Method not found")</f>
        <v>7.4999999999999997E-3</v>
      </c>
      <c r="M399" s="6">
        <f t="shared" si="12"/>
        <v>1.1174999999999999</v>
      </c>
      <c r="N399" s="8">
        <f t="shared" si="13"/>
        <v>46039</v>
      </c>
    </row>
    <row r="400" spans="1:14" x14ac:dyDescent="0.4">
      <c r="A400" t="s">
        <v>467</v>
      </c>
      <c r="B400">
        <v>128</v>
      </c>
      <c r="C400">
        <v>1</v>
      </c>
      <c r="D400" s="2">
        <v>46027.638888888891</v>
      </c>
      <c r="E400">
        <v>1499</v>
      </c>
      <c r="F400" t="s">
        <v>69</v>
      </c>
      <c r="G400" t="s">
        <v>64</v>
      </c>
      <c r="H400">
        <v>33</v>
      </c>
      <c r="I400" t="str">
        <f>IFERROR(VLOOKUP($C400,Merchants!$A$2:$D$41,2,FALSE),"Merchant not found")</f>
        <v>Merchant_001</v>
      </c>
      <c r="J400" t="str">
        <f>IFERROR(VLOOKUP($C400,Merchants!$A$2:$D$41,3,FALSE),"Merchant not found")</f>
        <v>ecommerce</v>
      </c>
      <c r="K400" t="str">
        <f>IFERROR(VLOOKUP($C400,Merchants!$A$2:$D$41,4,FALSE),"Merchant not found")</f>
        <v>South</v>
      </c>
      <c r="L400" s="3">
        <f>IFERROR(HLOOKUP(F400,Fee_Lookup!$B$1:$E$2,2,FALSE),"Method not found")</f>
        <v>0.01</v>
      </c>
      <c r="M400" s="6">
        <f t="shared" si="12"/>
        <v>14.99</v>
      </c>
      <c r="N400" s="8">
        <f t="shared" si="13"/>
        <v>46027</v>
      </c>
    </row>
    <row r="401" spans="1:14" x14ac:dyDescent="0.4">
      <c r="A401" t="s">
        <v>468</v>
      </c>
      <c r="B401">
        <v>137</v>
      </c>
      <c r="C401">
        <v>22</v>
      </c>
      <c r="D401" s="2">
        <v>46035.311111111114</v>
      </c>
      <c r="E401">
        <v>799</v>
      </c>
      <c r="F401" t="s">
        <v>66</v>
      </c>
      <c r="G401" t="s">
        <v>79</v>
      </c>
      <c r="H401">
        <v>38</v>
      </c>
      <c r="I401" t="str">
        <f>IFERROR(VLOOKUP($C401,Merchants!$A$2:$D$41,2,FALSE),"Merchant not found")</f>
        <v>Merchant_022</v>
      </c>
      <c r="J401" t="str">
        <f>IFERROR(VLOOKUP($C401,Merchants!$A$2:$D$41,3,FALSE),"Merchant not found")</f>
        <v>travel</v>
      </c>
      <c r="K401" t="str">
        <f>IFERROR(VLOOKUP($C401,Merchants!$A$2:$D$41,4,FALSE),"Merchant not found")</f>
        <v>South</v>
      </c>
      <c r="L401" s="3">
        <f>IFERROR(HLOOKUP(F401,Fee_Lookup!$B$1:$E$2,2,FALSE),"Method not found")</f>
        <v>5.0000000000000001E-3</v>
      </c>
      <c r="M401" s="6">
        <f t="shared" si="12"/>
        <v>3.9950000000000001</v>
      </c>
      <c r="N401" s="8">
        <f t="shared" si="13"/>
        <v>46035</v>
      </c>
    </row>
    <row r="402" spans="1:14" x14ac:dyDescent="0.4">
      <c r="A402" t="s">
        <v>469</v>
      </c>
      <c r="B402">
        <v>6</v>
      </c>
      <c r="C402">
        <v>17</v>
      </c>
      <c r="D402" s="2">
        <v>46041.98333333333</v>
      </c>
      <c r="E402">
        <v>49</v>
      </c>
      <c r="F402" t="s">
        <v>66</v>
      </c>
      <c r="G402" t="s">
        <v>64</v>
      </c>
      <c r="H402">
        <v>83</v>
      </c>
      <c r="I402" t="str">
        <f>IFERROR(VLOOKUP($C402,Merchants!$A$2:$D$41,2,FALSE),"Merchant not found")</f>
        <v>Merchant_017</v>
      </c>
      <c r="J402" t="str">
        <f>IFERROR(VLOOKUP($C402,Merchants!$A$2:$D$41,3,FALSE),"Merchant not found")</f>
        <v>grocery</v>
      </c>
      <c r="K402" t="str">
        <f>IFERROR(VLOOKUP($C402,Merchants!$A$2:$D$41,4,FALSE),"Merchant not found")</f>
        <v>North</v>
      </c>
      <c r="L402" s="3">
        <f>IFERROR(HLOOKUP(F402,Fee_Lookup!$B$1:$E$2,2,FALSE),"Method not found")</f>
        <v>5.0000000000000001E-3</v>
      </c>
      <c r="M402" s="6">
        <f t="shared" si="12"/>
        <v>0.245</v>
      </c>
      <c r="N402" s="8">
        <f t="shared" si="13"/>
        <v>46041</v>
      </c>
    </row>
    <row r="403" spans="1:14" x14ac:dyDescent="0.4">
      <c r="A403" t="s">
        <v>470</v>
      </c>
      <c r="B403">
        <v>32</v>
      </c>
      <c r="C403">
        <v>8</v>
      </c>
      <c r="D403" s="2">
        <v>46034.927083333336</v>
      </c>
      <c r="E403">
        <v>299</v>
      </c>
      <c r="F403" t="s">
        <v>78</v>
      </c>
      <c r="G403" t="s">
        <v>64</v>
      </c>
      <c r="H403">
        <v>59</v>
      </c>
      <c r="I403" t="str">
        <f>IFERROR(VLOOKUP($C403,Merchants!$A$2:$D$41,2,FALSE),"Merchant not found")</f>
        <v>Merchant_008</v>
      </c>
      <c r="J403" t="str">
        <f>IFERROR(VLOOKUP($C403,Merchants!$A$2:$D$41,3,FALSE),"Merchant not found")</f>
        <v>food_delivery</v>
      </c>
      <c r="K403" t="str">
        <f>IFERROR(VLOOKUP($C403,Merchants!$A$2:$D$41,4,FALSE),"Merchant not found")</f>
        <v>North</v>
      </c>
      <c r="L403" s="3">
        <f>IFERROR(HLOOKUP(F403,Fee_Lookup!$B$1:$E$2,2,FALSE),"Method not found")</f>
        <v>1.2E-2</v>
      </c>
      <c r="M403" s="6">
        <f t="shared" si="12"/>
        <v>3.5880000000000001</v>
      </c>
      <c r="N403" s="8">
        <f t="shared" si="13"/>
        <v>46034</v>
      </c>
    </row>
    <row r="404" spans="1:14" x14ac:dyDescent="0.4">
      <c r="A404" t="s">
        <v>471</v>
      </c>
      <c r="B404">
        <v>258</v>
      </c>
      <c r="C404">
        <v>20</v>
      </c>
      <c r="D404" s="2">
        <v>46032.225694444445</v>
      </c>
      <c r="E404">
        <v>149</v>
      </c>
      <c r="F404" t="s">
        <v>66</v>
      </c>
      <c r="G404" t="s">
        <v>64</v>
      </c>
      <c r="H404">
        <v>88</v>
      </c>
      <c r="I404" t="str">
        <f>IFERROR(VLOOKUP($C404,Merchants!$A$2:$D$41,2,FALSE),"Merchant not found")</f>
        <v>Merchant_020</v>
      </c>
      <c r="J404" t="str">
        <f>IFERROR(VLOOKUP($C404,Merchants!$A$2:$D$41,3,FALSE),"Merchant not found")</f>
        <v>food_delivery</v>
      </c>
      <c r="K404" t="str">
        <f>IFERROR(VLOOKUP($C404,Merchants!$A$2:$D$41,4,FALSE),"Merchant not found")</f>
        <v>East</v>
      </c>
      <c r="L404" s="3">
        <f>IFERROR(HLOOKUP(F404,Fee_Lookup!$B$1:$E$2,2,FALSE),"Method not found")</f>
        <v>5.0000000000000001E-3</v>
      </c>
      <c r="M404" s="6">
        <f t="shared" si="12"/>
        <v>0.745</v>
      </c>
      <c r="N404" s="8">
        <f t="shared" si="13"/>
        <v>46032</v>
      </c>
    </row>
    <row r="405" spans="1:14" x14ac:dyDescent="0.4">
      <c r="A405" t="s">
        <v>472</v>
      </c>
      <c r="B405">
        <v>152</v>
      </c>
      <c r="C405">
        <v>24</v>
      </c>
      <c r="D405" s="2">
        <v>46026.873611111114</v>
      </c>
      <c r="E405">
        <v>149</v>
      </c>
      <c r="F405" t="s">
        <v>66</v>
      </c>
      <c r="G405" t="s">
        <v>92</v>
      </c>
      <c r="H405">
        <v>78</v>
      </c>
      <c r="I405" t="str">
        <f>IFERROR(VLOOKUP($C405,Merchants!$A$2:$D$41,2,FALSE),"Merchant not found")</f>
        <v>Merchant_024</v>
      </c>
      <c r="J405" t="str">
        <f>IFERROR(VLOOKUP($C405,Merchants!$A$2:$D$41,3,FALSE),"Merchant not found")</f>
        <v>grocery</v>
      </c>
      <c r="K405" t="str">
        <f>IFERROR(VLOOKUP($C405,Merchants!$A$2:$D$41,4,FALSE),"Merchant not found")</f>
        <v>North</v>
      </c>
      <c r="L405" s="3">
        <f>IFERROR(HLOOKUP(F405,Fee_Lookup!$B$1:$E$2,2,FALSE),"Method not found")</f>
        <v>5.0000000000000001E-3</v>
      </c>
      <c r="M405" s="6">
        <f t="shared" si="12"/>
        <v>0.745</v>
      </c>
      <c r="N405" s="8">
        <f t="shared" si="13"/>
        <v>46026</v>
      </c>
    </row>
    <row r="406" spans="1:14" x14ac:dyDescent="0.4">
      <c r="A406" t="s">
        <v>473</v>
      </c>
      <c r="B406">
        <v>245</v>
      </c>
      <c r="C406">
        <v>10</v>
      </c>
      <c r="D406" s="2">
        <v>46030.297222222223</v>
      </c>
      <c r="E406">
        <v>799</v>
      </c>
      <c r="F406" t="s">
        <v>63</v>
      </c>
      <c r="G406" t="s">
        <v>64</v>
      </c>
      <c r="H406">
        <v>58</v>
      </c>
      <c r="I406" t="str">
        <f>IFERROR(VLOOKUP($C406,Merchants!$A$2:$D$41,2,FALSE),"Merchant not found")</f>
        <v>Merchant_010</v>
      </c>
      <c r="J406" t="str">
        <f>IFERROR(VLOOKUP($C406,Merchants!$A$2:$D$41,3,FALSE),"Merchant not found")</f>
        <v>grocery</v>
      </c>
      <c r="K406" t="str">
        <f>IFERROR(VLOOKUP($C406,Merchants!$A$2:$D$41,4,FALSE),"Merchant not found")</f>
        <v>West</v>
      </c>
      <c r="L406" s="3">
        <f>IFERROR(HLOOKUP(F406,Fee_Lookup!$B$1:$E$2,2,FALSE),"Method not found")</f>
        <v>7.4999999999999997E-3</v>
      </c>
      <c r="M406" s="6">
        <f t="shared" si="12"/>
        <v>5.9924999999999997</v>
      </c>
      <c r="N406" s="8">
        <f t="shared" si="13"/>
        <v>46030</v>
      </c>
    </row>
    <row r="407" spans="1:14" x14ac:dyDescent="0.4">
      <c r="A407" t="s">
        <v>474</v>
      </c>
      <c r="B407">
        <v>213</v>
      </c>
      <c r="C407">
        <v>36</v>
      </c>
      <c r="D407" s="2">
        <v>46046.807638888888</v>
      </c>
      <c r="E407">
        <v>49</v>
      </c>
      <c r="F407" t="s">
        <v>63</v>
      </c>
      <c r="G407" t="s">
        <v>64</v>
      </c>
      <c r="H407">
        <v>60</v>
      </c>
      <c r="I407" t="str">
        <f>IFERROR(VLOOKUP($C407,Merchants!$A$2:$D$41,2,FALSE),"Merchant not found")</f>
        <v>Merchant_036</v>
      </c>
      <c r="J407" t="str">
        <f>IFERROR(VLOOKUP($C407,Merchants!$A$2:$D$41,3,FALSE),"Merchant not found")</f>
        <v>entertainment</v>
      </c>
      <c r="K407" t="str">
        <f>IFERROR(VLOOKUP($C407,Merchants!$A$2:$D$41,4,FALSE),"Merchant not found")</f>
        <v>East</v>
      </c>
      <c r="L407" s="3">
        <f>IFERROR(HLOOKUP(F407,Fee_Lookup!$B$1:$E$2,2,FALSE),"Method not found")</f>
        <v>7.4999999999999997E-3</v>
      </c>
      <c r="M407" s="6">
        <f t="shared" si="12"/>
        <v>0.36749999999999999</v>
      </c>
      <c r="N407" s="8">
        <f t="shared" si="13"/>
        <v>46046</v>
      </c>
    </row>
    <row r="408" spans="1:14" x14ac:dyDescent="0.4">
      <c r="A408" t="s">
        <v>475</v>
      </c>
      <c r="B408">
        <v>341</v>
      </c>
      <c r="C408">
        <v>14</v>
      </c>
      <c r="D408" s="2">
        <v>46047.743750000001</v>
      </c>
      <c r="E408">
        <v>99</v>
      </c>
      <c r="F408" t="s">
        <v>69</v>
      </c>
      <c r="G408" t="s">
        <v>64</v>
      </c>
      <c r="H408">
        <v>97</v>
      </c>
      <c r="I408" t="str">
        <f>IFERROR(VLOOKUP($C408,Merchants!$A$2:$D$41,2,FALSE),"Merchant not found")</f>
        <v>Merchant_014</v>
      </c>
      <c r="J408" t="str">
        <f>IFERROR(VLOOKUP($C408,Merchants!$A$2:$D$41,3,FALSE),"Merchant not found")</f>
        <v>grocery</v>
      </c>
      <c r="K408" t="str">
        <f>IFERROR(VLOOKUP($C408,Merchants!$A$2:$D$41,4,FALSE),"Merchant not found")</f>
        <v>East</v>
      </c>
      <c r="L408" s="3">
        <f>IFERROR(HLOOKUP(F408,Fee_Lookup!$B$1:$E$2,2,FALSE),"Method not found")</f>
        <v>0.01</v>
      </c>
      <c r="M408" s="6">
        <f t="shared" si="12"/>
        <v>0.99</v>
      </c>
      <c r="N408" s="8">
        <f t="shared" si="13"/>
        <v>46047</v>
      </c>
    </row>
    <row r="409" spans="1:14" x14ac:dyDescent="0.4">
      <c r="A409" t="s">
        <v>476</v>
      </c>
      <c r="B409">
        <v>306</v>
      </c>
      <c r="C409">
        <v>6</v>
      </c>
      <c r="D409" s="2">
        <v>46030.908333333333</v>
      </c>
      <c r="E409">
        <v>149</v>
      </c>
      <c r="F409" t="s">
        <v>69</v>
      </c>
      <c r="G409" t="s">
        <v>64</v>
      </c>
      <c r="H409">
        <v>67</v>
      </c>
      <c r="I409" t="str">
        <f>IFERROR(VLOOKUP($C409,Merchants!$A$2:$D$41,2,FALSE),"Merchant not found")</f>
        <v>Merchant_006</v>
      </c>
      <c r="J409" t="str">
        <f>IFERROR(VLOOKUP($C409,Merchants!$A$2:$D$41,3,FALSE),"Merchant not found")</f>
        <v>food_delivery</v>
      </c>
      <c r="K409" t="str">
        <f>IFERROR(VLOOKUP($C409,Merchants!$A$2:$D$41,4,FALSE),"Merchant not found")</f>
        <v>South</v>
      </c>
      <c r="L409" s="3">
        <f>IFERROR(HLOOKUP(F409,Fee_Lookup!$B$1:$E$2,2,FALSE),"Method not found")</f>
        <v>0.01</v>
      </c>
      <c r="M409" s="6">
        <f t="shared" si="12"/>
        <v>1.49</v>
      </c>
      <c r="N409" s="8">
        <f t="shared" si="13"/>
        <v>46030</v>
      </c>
    </row>
    <row r="410" spans="1:14" x14ac:dyDescent="0.4">
      <c r="A410" t="s">
        <v>477</v>
      </c>
      <c r="B410">
        <v>186</v>
      </c>
      <c r="C410">
        <v>5</v>
      </c>
      <c r="D410" s="2">
        <v>46037.697916666664</v>
      </c>
      <c r="E410">
        <v>499</v>
      </c>
      <c r="F410" t="s">
        <v>66</v>
      </c>
      <c r="G410" t="s">
        <v>64</v>
      </c>
      <c r="H410">
        <v>72</v>
      </c>
      <c r="I410" t="str">
        <f>IFERROR(VLOOKUP($C410,Merchants!$A$2:$D$41,2,FALSE),"Merchant not found")</f>
        <v>Merchant_005</v>
      </c>
      <c r="J410" t="str">
        <f>IFERROR(VLOOKUP($C410,Merchants!$A$2:$D$41,3,FALSE),"Merchant not found")</f>
        <v>recharge</v>
      </c>
      <c r="K410" t="str">
        <f>IFERROR(VLOOKUP($C410,Merchants!$A$2:$D$41,4,FALSE),"Merchant not found")</f>
        <v>South</v>
      </c>
      <c r="L410" s="3">
        <f>IFERROR(HLOOKUP(F410,Fee_Lookup!$B$1:$E$2,2,FALSE),"Method not found")</f>
        <v>5.0000000000000001E-3</v>
      </c>
      <c r="M410" s="6">
        <f t="shared" si="12"/>
        <v>2.4950000000000001</v>
      </c>
      <c r="N410" s="8">
        <f t="shared" si="13"/>
        <v>46037</v>
      </c>
    </row>
    <row r="411" spans="1:14" x14ac:dyDescent="0.4">
      <c r="A411" t="s">
        <v>478</v>
      </c>
      <c r="B411">
        <v>281</v>
      </c>
      <c r="C411">
        <v>33</v>
      </c>
      <c r="D411" s="2">
        <v>46026.078472222223</v>
      </c>
      <c r="E411">
        <v>4999</v>
      </c>
      <c r="F411" t="s">
        <v>66</v>
      </c>
      <c r="G411" t="s">
        <v>64</v>
      </c>
      <c r="H411">
        <v>25</v>
      </c>
      <c r="I411" t="str">
        <f>IFERROR(VLOOKUP($C411,Merchants!$A$2:$D$41,2,FALSE),"Merchant not found")</f>
        <v>Merchant_033</v>
      </c>
      <c r="J411" t="str">
        <f>IFERROR(VLOOKUP($C411,Merchants!$A$2:$D$41,3,FALSE),"Merchant not found")</f>
        <v>bill_payment</v>
      </c>
      <c r="K411" t="str">
        <f>IFERROR(VLOOKUP($C411,Merchants!$A$2:$D$41,4,FALSE),"Merchant not found")</f>
        <v>East</v>
      </c>
      <c r="L411" s="3">
        <f>IFERROR(HLOOKUP(F411,Fee_Lookup!$B$1:$E$2,2,FALSE),"Method not found")</f>
        <v>5.0000000000000001E-3</v>
      </c>
      <c r="M411" s="6">
        <f t="shared" si="12"/>
        <v>24.995000000000001</v>
      </c>
      <c r="N411" s="8">
        <f t="shared" si="13"/>
        <v>46026</v>
      </c>
    </row>
    <row r="412" spans="1:14" x14ac:dyDescent="0.4">
      <c r="A412" t="s">
        <v>479</v>
      </c>
      <c r="B412">
        <v>85</v>
      </c>
      <c r="C412">
        <v>21</v>
      </c>
      <c r="D412" s="2">
        <v>46041.714583333334</v>
      </c>
      <c r="E412">
        <v>99</v>
      </c>
      <c r="F412" t="s">
        <v>66</v>
      </c>
      <c r="G412" t="s">
        <v>64</v>
      </c>
      <c r="H412">
        <v>66</v>
      </c>
      <c r="I412" t="str">
        <f>IFERROR(VLOOKUP($C412,Merchants!$A$2:$D$41,2,FALSE),"Merchant not found")</f>
        <v>Merchant_021</v>
      </c>
      <c r="J412" t="str">
        <f>IFERROR(VLOOKUP($C412,Merchants!$A$2:$D$41,3,FALSE),"Merchant not found")</f>
        <v>food_delivery</v>
      </c>
      <c r="K412" t="str">
        <f>IFERROR(VLOOKUP($C412,Merchants!$A$2:$D$41,4,FALSE),"Merchant not found")</f>
        <v>East</v>
      </c>
      <c r="L412" s="3">
        <f>IFERROR(HLOOKUP(F412,Fee_Lookup!$B$1:$E$2,2,FALSE),"Method not found")</f>
        <v>5.0000000000000001E-3</v>
      </c>
      <c r="M412" s="6">
        <f t="shared" si="12"/>
        <v>0.495</v>
      </c>
      <c r="N412" s="8">
        <f t="shared" si="13"/>
        <v>46041</v>
      </c>
    </row>
    <row r="413" spans="1:14" x14ac:dyDescent="0.4">
      <c r="A413" t="s">
        <v>480</v>
      </c>
      <c r="B413">
        <v>106</v>
      </c>
      <c r="C413">
        <v>38</v>
      </c>
      <c r="D413" s="2">
        <v>46037.154861111114</v>
      </c>
      <c r="E413">
        <v>499</v>
      </c>
      <c r="F413" t="s">
        <v>66</v>
      </c>
      <c r="G413" t="s">
        <v>64</v>
      </c>
      <c r="H413">
        <v>62</v>
      </c>
      <c r="I413" t="str">
        <f>IFERROR(VLOOKUP($C413,Merchants!$A$2:$D$41,2,FALSE),"Merchant not found")</f>
        <v>Merchant_038</v>
      </c>
      <c r="J413" t="str">
        <f>IFERROR(VLOOKUP($C413,Merchants!$A$2:$D$41,3,FALSE),"Merchant not found")</f>
        <v>grocery</v>
      </c>
      <c r="K413" t="str">
        <f>IFERROR(VLOOKUP($C413,Merchants!$A$2:$D$41,4,FALSE),"Merchant not found")</f>
        <v>East</v>
      </c>
      <c r="L413" s="3">
        <f>IFERROR(HLOOKUP(F413,Fee_Lookup!$B$1:$E$2,2,FALSE),"Method not found")</f>
        <v>5.0000000000000001E-3</v>
      </c>
      <c r="M413" s="6">
        <f t="shared" si="12"/>
        <v>2.4950000000000001</v>
      </c>
      <c r="N413" s="8">
        <f t="shared" si="13"/>
        <v>46037</v>
      </c>
    </row>
    <row r="414" spans="1:14" x14ac:dyDescent="0.4">
      <c r="A414" t="s">
        <v>481</v>
      </c>
      <c r="B414">
        <v>29</v>
      </c>
      <c r="C414">
        <v>30</v>
      </c>
      <c r="D414" s="2">
        <v>46025.686111111114</v>
      </c>
      <c r="E414">
        <v>149</v>
      </c>
      <c r="F414" t="s">
        <v>69</v>
      </c>
      <c r="G414" t="s">
        <v>64</v>
      </c>
      <c r="H414">
        <v>16</v>
      </c>
      <c r="I414" t="str">
        <f>IFERROR(VLOOKUP($C414,Merchants!$A$2:$D$41,2,FALSE),"Merchant not found")</f>
        <v>Merchant_030</v>
      </c>
      <c r="J414" t="str">
        <f>IFERROR(VLOOKUP($C414,Merchants!$A$2:$D$41,3,FALSE),"Merchant not found")</f>
        <v>travel</v>
      </c>
      <c r="K414" t="str">
        <f>IFERROR(VLOOKUP($C414,Merchants!$A$2:$D$41,4,FALSE),"Merchant not found")</f>
        <v>West</v>
      </c>
      <c r="L414" s="3">
        <f>IFERROR(HLOOKUP(F414,Fee_Lookup!$B$1:$E$2,2,FALSE),"Method not found")</f>
        <v>0.01</v>
      </c>
      <c r="M414" s="6">
        <f t="shared" si="12"/>
        <v>1.49</v>
      </c>
      <c r="N414" s="8">
        <f t="shared" si="13"/>
        <v>46025</v>
      </c>
    </row>
    <row r="415" spans="1:14" x14ac:dyDescent="0.4">
      <c r="A415" t="s">
        <v>482</v>
      </c>
      <c r="B415">
        <v>289</v>
      </c>
      <c r="C415">
        <v>4</v>
      </c>
      <c r="D415" s="2">
        <v>46039.561805555553</v>
      </c>
      <c r="E415">
        <v>1499</v>
      </c>
      <c r="F415" t="s">
        <v>78</v>
      </c>
      <c r="G415" t="s">
        <v>64</v>
      </c>
      <c r="H415">
        <v>71</v>
      </c>
      <c r="I415" t="str">
        <f>IFERROR(VLOOKUP($C415,Merchants!$A$2:$D$41,2,FALSE),"Merchant not found")</f>
        <v>Merchant_004</v>
      </c>
      <c r="J415" t="str">
        <f>IFERROR(VLOOKUP($C415,Merchants!$A$2:$D$41,3,FALSE),"Merchant not found")</f>
        <v>ecommerce</v>
      </c>
      <c r="K415" t="str">
        <f>IFERROR(VLOOKUP($C415,Merchants!$A$2:$D$41,4,FALSE),"Merchant not found")</f>
        <v>East</v>
      </c>
      <c r="L415" s="3">
        <f>IFERROR(HLOOKUP(F415,Fee_Lookup!$B$1:$E$2,2,FALSE),"Method not found")</f>
        <v>1.2E-2</v>
      </c>
      <c r="M415" s="6">
        <f t="shared" si="12"/>
        <v>17.988</v>
      </c>
      <c r="N415" s="8">
        <f t="shared" si="13"/>
        <v>46039</v>
      </c>
    </row>
    <row r="416" spans="1:14" x14ac:dyDescent="0.4">
      <c r="A416" t="s">
        <v>483</v>
      </c>
      <c r="B416">
        <v>158</v>
      </c>
      <c r="C416">
        <v>2</v>
      </c>
      <c r="D416" s="2">
        <v>46037.910416666666</v>
      </c>
      <c r="E416">
        <v>1499</v>
      </c>
      <c r="F416" t="s">
        <v>78</v>
      </c>
      <c r="G416" t="s">
        <v>64</v>
      </c>
      <c r="H416">
        <v>50</v>
      </c>
      <c r="I416" t="str">
        <f>IFERROR(VLOOKUP($C416,Merchants!$A$2:$D$41,2,FALSE),"Merchant not found")</f>
        <v>Merchant_002</v>
      </c>
      <c r="J416" t="str">
        <f>IFERROR(VLOOKUP($C416,Merchants!$A$2:$D$41,3,FALSE),"Merchant not found")</f>
        <v>grocery</v>
      </c>
      <c r="K416" t="str">
        <f>IFERROR(VLOOKUP($C416,Merchants!$A$2:$D$41,4,FALSE),"Merchant not found")</f>
        <v>West</v>
      </c>
      <c r="L416" s="3">
        <f>IFERROR(HLOOKUP(F416,Fee_Lookup!$B$1:$E$2,2,FALSE),"Method not found")</f>
        <v>1.2E-2</v>
      </c>
      <c r="M416" s="6">
        <f t="shared" si="12"/>
        <v>17.988</v>
      </c>
      <c r="N416" s="8">
        <f t="shared" si="13"/>
        <v>46037</v>
      </c>
    </row>
    <row r="417" spans="1:14" x14ac:dyDescent="0.4">
      <c r="A417" t="s">
        <v>484</v>
      </c>
      <c r="B417">
        <v>112</v>
      </c>
      <c r="C417">
        <v>38</v>
      </c>
      <c r="D417" s="2">
        <v>46031.032638888886</v>
      </c>
      <c r="E417">
        <v>49</v>
      </c>
      <c r="F417" t="s">
        <v>66</v>
      </c>
      <c r="G417" t="s">
        <v>64</v>
      </c>
      <c r="H417">
        <v>9</v>
      </c>
      <c r="I417" t="str">
        <f>IFERROR(VLOOKUP($C417,Merchants!$A$2:$D$41,2,FALSE),"Merchant not found")</f>
        <v>Merchant_038</v>
      </c>
      <c r="J417" t="str">
        <f>IFERROR(VLOOKUP($C417,Merchants!$A$2:$D$41,3,FALSE),"Merchant not found")</f>
        <v>grocery</v>
      </c>
      <c r="K417" t="str">
        <f>IFERROR(VLOOKUP($C417,Merchants!$A$2:$D$41,4,FALSE),"Merchant not found")</f>
        <v>East</v>
      </c>
      <c r="L417" s="3">
        <f>IFERROR(HLOOKUP(F417,Fee_Lookup!$B$1:$E$2,2,FALSE),"Method not found")</f>
        <v>5.0000000000000001E-3</v>
      </c>
      <c r="M417" s="6">
        <f t="shared" si="12"/>
        <v>0.245</v>
      </c>
      <c r="N417" s="8">
        <f t="shared" si="13"/>
        <v>46031</v>
      </c>
    </row>
    <row r="418" spans="1:14" x14ac:dyDescent="0.4">
      <c r="A418" t="s">
        <v>485</v>
      </c>
      <c r="B418">
        <v>33</v>
      </c>
      <c r="C418">
        <v>35</v>
      </c>
      <c r="D418" s="2">
        <v>46024.556944444441</v>
      </c>
      <c r="E418">
        <v>299</v>
      </c>
      <c r="F418" t="s">
        <v>78</v>
      </c>
      <c r="G418" t="s">
        <v>79</v>
      </c>
      <c r="H418">
        <v>7</v>
      </c>
      <c r="I418" t="str">
        <f>IFERROR(VLOOKUP($C418,Merchants!$A$2:$D$41,2,FALSE),"Merchant not found")</f>
        <v>Merchant_035</v>
      </c>
      <c r="J418" t="str">
        <f>IFERROR(VLOOKUP($C418,Merchants!$A$2:$D$41,3,FALSE),"Merchant not found")</f>
        <v>recharge</v>
      </c>
      <c r="K418" t="str">
        <f>IFERROR(VLOOKUP($C418,Merchants!$A$2:$D$41,4,FALSE),"Merchant not found")</f>
        <v>East</v>
      </c>
      <c r="L418" s="3">
        <f>IFERROR(HLOOKUP(F418,Fee_Lookup!$B$1:$E$2,2,FALSE),"Method not found")</f>
        <v>1.2E-2</v>
      </c>
      <c r="M418" s="6">
        <f t="shared" si="12"/>
        <v>3.5880000000000001</v>
      </c>
      <c r="N418" s="8">
        <f t="shared" si="13"/>
        <v>46024</v>
      </c>
    </row>
    <row r="419" spans="1:14" x14ac:dyDescent="0.4">
      <c r="A419" t="s">
        <v>486</v>
      </c>
      <c r="B419">
        <v>242</v>
      </c>
      <c r="C419">
        <v>3</v>
      </c>
      <c r="D419" s="2">
        <v>46052.124305555553</v>
      </c>
      <c r="E419">
        <v>49</v>
      </c>
      <c r="F419" t="s">
        <v>66</v>
      </c>
      <c r="G419" t="s">
        <v>64</v>
      </c>
      <c r="H419">
        <v>36</v>
      </c>
      <c r="I419" t="str">
        <f>IFERROR(VLOOKUP($C419,Merchants!$A$2:$D$41,2,FALSE),"Merchant not found")</f>
        <v>Merchant_003</v>
      </c>
      <c r="J419" t="str">
        <f>IFERROR(VLOOKUP($C419,Merchants!$A$2:$D$41,3,FALSE),"Merchant not found")</f>
        <v>grocery</v>
      </c>
      <c r="K419" t="str">
        <f>IFERROR(VLOOKUP($C419,Merchants!$A$2:$D$41,4,FALSE),"Merchant not found")</f>
        <v>East</v>
      </c>
      <c r="L419" s="3">
        <f>IFERROR(HLOOKUP(F419,Fee_Lookup!$B$1:$E$2,2,FALSE),"Method not found")</f>
        <v>5.0000000000000001E-3</v>
      </c>
      <c r="M419" s="6">
        <f t="shared" si="12"/>
        <v>0.245</v>
      </c>
      <c r="N419" s="8">
        <f t="shared" si="13"/>
        <v>46052</v>
      </c>
    </row>
    <row r="420" spans="1:14" x14ac:dyDescent="0.4">
      <c r="A420" t="s">
        <v>487</v>
      </c>
      <c r="B420">
        <v>70</v>
      </c>
      <c r="C420">
        <v>27</v>
      </c>
      <c r="D420" s="2">
        <v>46036.242361111108</v>
      </c>
      <c r="E420">
        <v>149</v>
      </c>
      <c r="F420" t="s">
        <v>66</v>
      </c>
      <c r="G420" t="s">
        <v>64</v>
      </c>
      <c r="H420">
        <v>47</v>
      </c>
      <c r="I420" t="str">
        <f>IFERROR(VLOOKUP($C420,Merchants!$A$2:$D$41,2,FALSE),"Merchant not found")</f>
        <v>Merchant_027</v>
      </c>
      <c r="J420" t="str">
        <f>IFERROR(VLOOKUP($C420,Merchants!$A$2:$D$41,3,FALSE),"Merchant not found")</f>
        <v>ecommerce</v>
      </c>
      <c r="K420" t="str">
        <f>IFERROR(VLOOKUP($C420,Merchants!$A$2:$D$41,4,FALSE),"Merchant not found")</f>
        <v>North</v>
      </c>
      <c r="L420" s="3">
        <f>IFERROR(HLOOKUP(F420,Fee_Lookup!$B$1:$E$2,2,FALSE),"Method not found")</f>
        <v>5.0000000000000001E-3</v>
      </c>
      <c r="M420" s="6">
        <f t="shared" si="12"/>
        <v>0.745</v>
      </c>
      <c r="N420" s="8">
        <f t="shared" si="13"/>
        <v>46036</v>
      </c>
    </row>
    <row r="421" spans="1:14" x14ac:dyDescent="0.4">
      <c r="A421" t="s">
        <v>488</v>
      </c>
      <c r="B421">
        <v>194</v>
      </c>
      <c r="C421">
        <v>25</v>
      </c>
      <c r="D421" s="2">
        <v>46051.519444444442</v>
      </c>
      <c r="E421">
        <v>49</v>
      </c>
      <c r="F421" t="s">
        <v>63</v>
      </c>
      <c r="G421" t="s">
        <v>64</v>
      </c>
      <c r="H421">
        <v>10</v>
      </c>
      <c r="I421" t="str">
        <f>IFERROR(VLOOKUP($C421,Merchants!$A$2:$D$41,2,FALSE),"Merchant not found")</f>
        <v>Merchant_025</v>
      </c>
      <c r="J421" t="str">
        <f>IFERROR(VLOOKUP($C421,Merchants!$A$2:$D$41,3,FALSE),"Merchant not found")</f>
        <v>travel</v>
      </c>
      <c r="K421" t="str">
        <f>IFERROR(VLOOKUP($C421,Merchants!$A$2:$D$41,4,FALSE),"Merchant not found")</f>
        <v>South</v>
      </c>
      <c r="L421" s="3">
        <f>IFERROR(HLOOKUP(F421,Fee_Lookup!$B$1:$E$2,2,FALSE),"Method not found")</f>
        <v>7.4999999999999997E-3</v>
      </c>
      <c r="M421" s="6">
        <f t="shared" si="12"/>
        <v>0.36749999999999999</v>
      </c>
      <c r="N421" s="8">
        <f t="shared" si="13"/>
        <v>46051</v>
      </c>
    </row>
    <row r="422" spans="1:14" x14ac:dyDescent="0.4">
      <c r="A422" t="s">
        <v>489</v>
      </c>
      <c r="B422">
        <v>277</v>
      </c>
      <c r="C422">
        <v>9</v>
      </c>
      <c r="D422" s="2">
        <v>46044.913194444445</v>
      </c>
      <c r="E422">
        <v>799</v>
      </c>
      <c r="F422" t="s">
        <v>66</v>
      </c>
      <c r="G422" t="s">
        <v>64</v>
      </c>
      <c r="H422">
        <v>83</v>
      </c>
      <c r="I422" t="str">
        <f>IFERROR(VLOOKUP($C422,Merchants!$A$2:$D$41,2,FALSE),"Merchant not found")</f>
        <v>Merchant_009</v>
      </c>
      <c r="J422" t="str">
        <f>IFERROR(VLOOKUP($C422,Merchants!$A$2:$D$41,3,FALSE),"Merchant not found")</f>
        <v>ecommerce</v>
      </c>
      <c r="K422" t="str">
        <f>IFERROR(VLOOKUP($C422,Merchants!$A$2:$D$41,4,FALSE),"Merchant not found")</f>
        <v>North</v>
      </c>
      <c r="L422" s="3">
        <f>IFERROR(HLOOKUP(F422,Fee_Lookup!$B$1:$E$2,2,FALSE),"Method not found")</f>
        <v>5.0000000000000001E-3</v>
      </c>
      <c r="M422" s="6">
        <f t="shared" si="12"/>
        <v>3.9950000000000001</v>
      </c>
      <c r="N422" s="8">
        <f t="shared" si="13"/>
        <v>46044</v>
      </c>
    </row>
    <row r="423" spans="1:14" x14ac:dyDescent="0.4">
      <c r="A423" t="s">
        <v>490</v>
      </c>
      <c r="B423">
        <v>92</v>
      </c>
      <c r="C423">
        <v>35</v>
      </c>
      <c r="D423" s="2">
        <v>46050.463194444441</v>
      </c>
      <c r="E423">
        <v>49</v>
      </c>
      <c r="F423" t="s">
        <v>66</v>
      </c>
      <c r="G423" t="s">
        <v>64</v>
      </c>
      <c r="H423">
        <v>50</v>
      </c>
      <c r="I423" t="str">
        <f>IFERROR(VLOOKUP($C423,Merchants!$A$2:$D$41,2,FALSE),"Merchant not found")</f>
        <v>Merchant_035</v>
      </c>
      <c r="J423" t="str">
        <f>IFERROR(VLOOKUP($C423,Merchants!$A$2:$D$41,3,FALSE),"Merchant not found")</f>
        <v>recharge</v>
      </c>
      <c r="K423" t="str">
        <f>IFERROR(VLOOKUP($C423,Merchants!$A$2:$D$41,4,FALSE),"Merchant not found")</f>
        <v>East</v>
      </c>
      <c r="L423" s="3">
        <f>IFERROR(HLOOKUP(F423,Fee_Lookup!$B$1:$E$2,2,FALSE),"Method not found")</f>
        <v>5.0000000000000001E-3</v>
      </c>
      <c r="M423" s="6">
        <f t="shared" si="12"/>
        <v>0.245</v>
      </c>
      <c r="N423" s="8">
        <f t="shared" si="13"/>
        <v>46050</v>
      </c>
    </row>
    <row r="424" spans="1:14" x14ac:dyDescent="0.4">
      <c r="A424" t="s">
        <v>491</v>
      </c>
      <c r="B424">
        <v>115</v>
      </c>
      <c r="C424">
        <v>1</v>
      </c>
      <c r="D424" s="2">
        <v>46039.198611111111</v>
      </c>
      <c r="E424">
        <v>149</v>
      </c>
      <c r="F424" t="s">
        <v>63</v>
      </c>
      <c r="G424" t="s">
        <v>64</v>
      </c>
      <c r="H424">
        <v>96</v>
      </c>
      <c r="I424" t="str">
        <f>IFERROR(VLOOKUP($C424,Merchants!$A$2:$D$41,2,FALSE),"Merchant not found")</f>
        <v>Merchant_001</v>
      </c>
      <c r="J424" t="str">
        <f>IFERROR(VLOOKUP($C424,Merchants!$A$2:$D$41,3,FALSE),"Merchant not found")</f>
        <v>ecommerce</v>
      </c>
      <c r="K424" t="str">
        <f>IFERROR(VLOOKUP($C424,Merchants!$A$2:$D$41,4,FALSE),"Merchant not found")</f>
        <v>South</v>
      </c>
      <c r="L424" s="3">
        <f>IFERROR(HLOOKUP(F424,Fee_Lookup!$B$1:$E$2,2,FALSE),"Method not found")</f>
        <v>7.4999999999999997E-3</v>
      </c>
      <c r="M424" s="6">
        <f t="shared" si="12"/>
        <v>1.1174999999999999</v>
      </c>
      <c r="N424" s="8">
        <f t="shared" si="13"/>
        <v>46039</v>
      </c>
    </row>
    <row r="425" spans="1:14" x14ac:dyDescent="0.4">
      <c r="A425" t="s">
        <v>492</v>
      </c>
      <c r="B425">
        <v>345</v>
      </c>
      <c r="C425">
        <v>35</v>
      </c>
      <c r="D425" s="2">
        <v>46023.395138888889</v>
      </c>
      <c r="E425">
        <v>499</v>
      </c>
      <c r="F425" t="s">
        <v>78</v>
      </c>
      <c r="G425" t="s">
        <v>64</v>
      </c>
      <c r="H425">
        <v>54</v>
      </c>
      <c r="I425" t="str">
        <f>IFERROR(VLOOKUP($C425,Merchants!$A$2:$D$41,2,FALSE),"Merchant not found")</f>
        <v>Merchant_035</v>
      </c>
      <c r="J425" t="str">
        <f>IFERROR(VLOOKUP($C425,Merchants!$A$2:$D$41,3,FALSE),"Merchant not found")</f>
        <v>recharge</v>
      </c>
      <c r="K425" t="str">
        <f>IFERROR(VLOOKUP($C425,Merchants!$A$2:$D$41,4,FALSE),"Merchant not found")</f>
        <v>East</v>
      </c>
      <c r="L425" s="3">
        <f>IFERROR(HLOOKUP(F425,Fee_Lookup!$B$1:$E$2,2,FALSE),"Method not found")</f>
        <v>1.2E-2</v>
      </c>
      <c r="M425" s="6">
        <f t="shared" si="12"/>
        <v>5.9880000000000004</v>
      </c>
      <c r="N425" s="8">
        <f t="shared" si="13"/>
        <v>46023</v>
      </c>
    </row>
    <row r="426" spans="1:14" x14ac:dyDescent="0.4">
      <c r="A426" t="s">
        <v>493</v>
      </c>
      <c r="B426">
        <v>118</v>
      </c>
      <c r="C426">
        <v>16</v>
      </c>
      <c r="D426" s="2">
        <v>46040.536111111112</v>
      </c>
      <c r="E426">
        <v>49</v>
      </c>
      <c r="F426" t="s">
        <v>66</v>
      </c>
      <c r="G426" t="s">
        <v>64</v>
      </c>
      <c r="H426">
        <v>58</v>
      </c>
      <c r="I426" t="str">
        <f>IFERROR(VLOOKUP($C426,Merchants!$A$2:$D$41,2,FALSE),"Merchant not found")</f>
        <v>Merchant_016</v>
      </c>
      <c r="J426" t="str">
        <f>IFERROR(VLOOKUP($C426,Merchants!$A$2:$D$41,3,FALSE),"Merchant not found")</f>
        <v>bill_payment</v>
      </c>
      <c r="K426" t="str">
        <f>IFERROR(VLOOKUP($C426,Merchants!$A$2:$D$41,4,FALSE),"Merchant not found")</f>
        <v>West</v>
      </c>
      <c r="L426" s="3">
        <f>IFERROR(HLOOKUP(F426,Fee_Lookup!$B$1:$E$2,2,FALSE),"Method not found")</f>
        <v>5.0000000000000001E-3</v>
      </c>
      <c r="M426" s="6">
        <f t="shared" si="12"/>
        <v>0.245</v>
      </c>
      <c r="N426" s="8">
        <f t="shared" si="13"/>
        <v>46040</v>
      </c>
    </row>
    <row r="427" spans="1:14" x14ac:dyDescent="0.4">
      <c r="A427" t="s">
        <v>494</v>
      </c>
      <c r="B427">
        <v>97</v>
      </c>
      <c r="C427">
        <v>8</v>
      </c>
      <c r="D427" s="2">
        <v>46034.178472222222</v>
      </c>
      <c r="E427">
        <v>99</v>
      </c>
      <c r="F427" t="s">
        <v>69</v>
      </c>
      <c r="G427" t="s">
        <v>64</v>
      </c>
      <c r="H427">
        <v>4</v>
      </c>
      <c r="I427" t="str">
        <f>IFERROR(VLOOKUP($C427,Merchants!$A$2:$D$41,2,FALSE),"Merchant not found")</f>
        <v>Merchant_008</v>
      </c>
      <c r="J427" t="str">
        <f>IFERROR(VLOOKUP($C427,Merchants!$A$2:$D$41,3,FALSE),"Merchant not found")</f>
        <v>food_delivery</v>
      </c>
      <c r="K427" t="str">
        <f>IFERROR(VLOOKUP($C427,Merchants!$A$2:$D$41,4,FALSE),"Merchant not found")</f>
        <v>North</v>
      </c>
      <c r="L427" s="3">
        <f>IFERROR(HLOOKUP(F427,Fee_Lookup!$B$1:$E$2,2,FALSE),"Method not found")</f>
        <v>0.01</v>
      </c>
      <c r="M427" s="6">
        <f t="shared" si="12"/>
        <v>0.99</v>
      </c>
      <c r="N427" s="8">
        <f t="shared" si="13"/>
        <v>46034</v>
      </c>
    </row>
    <row r="428" spans="1:14" x14ac:dyDescent="0.4">
      <c r="A428" t="s">
        <v>495</v>
      </c>
      <c r="B428">
        <v>315</v>
      </c>
      <c r="C428">
        <v>2</v>
      </c>
      <c r="D428" s="2">
        <v>46048.893055555556</v>
      </c>
      <c r="E428">
        <v>299</v>
      </c>
      <c r="F428" t="s">
        <v>63</v>
      </c>
      <c r="G428" t="s">
        <v>64</v>
      </c>
      <c r="H428">
        <v>30</v>
      </c>
      <c r="I428" t="str">
        <f>IFERROR(VLOOKUP($C428,Merchants!$A$2:$D$41,2,FALSE),"Merchant not found")</f>
        <v>Merchant_002</v>
      </c>
      <c r="J428" t="str">
        <f>IFERROR(VLOOKUP($C428,Merchants!$A$2:$D$41,3,FALSE),"Merchant not found")</f>
        <v>grocery</v>
      </c>
      <c r="K428" t="str">
        <f>IFERROR(VLOOKUP($C428,Merchants!$A$2:$D$41,4,FALSE),"Merchant not found")</f>
        <v>West</v>
      </c>
      <c r="L428" s="3">
        <f>IFERROR(HLOOKUP(F428,Fee_Lookup!$B$1:$E$2,2,FALSE),"Method not found")</f>
        <v>7.4999999999999997E-3</v>
      </c>
      <c r="M428" s="6">
        <f t="shared" si="12"/>
        <v>2.2424999999999997</v>
      </c>
      <c r="N428" s="8">
        <f t="shared" si="13"/>
        <v>46048</v>
      </c>
    </row>
    <row r="429" spans="1:14" x14ac:dyDescent="0.4">
      <c r="A429" t="s">
        <v>496</v>
      </c>
      <c r="B429">
        <v>305</v>
      </c>
      <c r="C429">
        <v>3</v>
      </c>
      <c r="D429" s="2">
        <v>46029.087500000001</v>
      </c>
      <c r="E429">
        <v>299</v>
      </c>
      <c r="F429" t="s">
        <v>66</v>
      </c>
      <c r="G429" t="s">
        <v>64</v>
      </c>
      <c r="H429">
        <v>57</v>
      </c>
      <c r="I429" t="str">
        <f>IFERROR(VLOOKUP($C429,Merchants!$A$2:$D$41,2,FALSE),"Merchant not found")</f>
        <v>Merchant_003</v>
      </c>
      <c r="J429" t="str">
        <f>IFERROR(VLOOKUP($C429,Merchants!$A$2:$D$41,3,FALSE),"Merchant not found")</f>
        <v>grocery</v>
      </c>
      <c r="K429" t="str">
        <f>IFERROR(VLOOKUP($C429,Merchants!$A$2:$D$41,4,FALSE),"Merchant not found")</f>
        <v>East</v>
      </c>
      <c r="L429" s="3">
        <f>IFERROR(HLOOKUP(F429,Fee_Lookup!$B$1:$E$2,2,FALSE),"Method not found")</f>
        <v>5.0000000000000001E-3</v>
      </c>
      <c r="M429" s="6">
        <f t="shared" si="12"/>
        <v>1.4950000000000001</v>
      </c>
      <c r="N429" s="8">
        <f t="shared" si="13"/>
        <v>46029</v>
      </c>
    </row>
    <row r="430" spans="1:14" x14ac:dyDescent="0.4">
      <c r="A430" t="s">
        <v>497</v>
      </c>
      <c r="B430">
        <v>25</v>
      </c>
      <c r="C430">
        <v>16</v>
      </c>
      <c r="D430" s="2">
        <v>46042.90625</v>
      </c>
      <c r="E430">
        <v>299</v>
      </c>
      <c r="F430" t="s">
        <v>66</v>
      </c>
      <c r="G430" t="s">
        <v>64</v>
      </c>
      <c r="H430">
        <v>94</v>
      </c>
      <c r="I430" t="str">
        <f>IFERROR(VLOOKUP($C430,Merchants!$A$2:$D$41,2,FALSE),"Merchant not found")</f>
        <v>Merchant_016</v>
      </c>
      <c r="J430" t="str">
        <f>IFERROR(VLOOKUP($C430,Merchants!$A$2:$D$41,3,FALSE),"Merchant not found")</f>
        <v>bill_payment</v>
      </c>
      <c r="K430" t="str">
        <f>IFERROR(VLOOKUP($C430,Merchants!$A$2:$D$41,4,FALSE),"Merchant not found")</f>
        <v>West</v>
      </c>
      <c r="L430" s="3">
        <f>IFERROR(HLOOKUP(F430,Fee_Lookup!$B$1:$E$2,2,FALSE),"Method not found")</f>
        <v>5.0000000000000001E-3</v>
      </c>
      <c r="M430" s="6">
        <f t="shared" si="12"/>
        <v>1.4950000000000001</v>
      </c>
      <c r="N430" s="8">
        <f t="shared" si="13"/>
        <v>46042</v>
      </c>
    </row>
    <row r="431" spans="1:14" x14ac:dyDescent="0.4">
      <c r="A431" t="s">
        <v>498</v>
      </c>
      <c r="B431">
        <v>120</v>
      </c>
      <c r="C431">
        <v>35</v>
      </c>
      <c r="D431" s="2">
        <v>46024.519444444442</v>
      </c>
      <c r="E431">
        <v>49</v>
      </c>
      <c r="F431" t="s">
        <v>66</v>
      </c>
      <c r="G431" t="s">
        <v>64</v>
      </c>
      <c r="H431">
        <v>27</v>
      </c>
      <c r="I431" t="str">
        <f>IFERROR(VLOOKUP($C431,Merchants!$A$2:$D$41,2,FALSE),"Merchant not found")</f>
        <v>Merchant_035</v>
      </c>
      <c r="J431" t="str">
        <f>IFERROR(VLOOKUP($C431,Merchants!$A$2:$D$41,3,FALSE),"Merchant not found")</f>
        <v>recharge</v>
      </c>
      <c r="K431" t="str">
        <f>IFERROR(VLOOKUP($C431,Merchants!$A$2:$D$41,4,FALSE),"Merchant not found")</f>
        <v>East</v>
      </c>
      <c r="L431" s="3">
        <f>IFERROR(HLOOKUP(F431,Fee_Lookup!$B$1:$E$2,2,FALSE),"Method not found")</f>
        <v>5.0000000000000001E-3</v>
      </c>
      <c r="M431" s="6">
        <f t="shared" si="12"/>
        <v>0.245</v>
      </c>
      <c r="N431" s="8">
        <f t="shared" si="13"/>
        <v>46024</v>
      </c>
    </row>
    <row r="432" spans="1:14" x14ac:dyDescent="0.4">
      <c r="A432" t="s">
        <v>499</v>
      </c>
      <c r="B432">
        <v>258</v>
      </c>
      <c r="C432">
        <v>19</v>
      </c>
      <c r="D432" s="2">
        <v>46047.047222222223</v>
      </c>
      <c r="E432">
        <v>49</v>
      </c>
      <c r="F432" t="s">
        <v>63</v>
      </c>
      <c r="G432" t="s">
        <v>64</v>
      </c>
      <c r="H432">
        <v>29</v>
      </c>
      <c r="I432" t="str">
        <f>IFERROR(VLOOKUP($C432,Merchants!$A$2:$D$41,2,FALSE),"Merchant not found")</f>
        <v>Merchant_019</v>
      </c>
      <c r="J432" t="str">
        <f>IFERROR(VLOOKUP($C432,Merchants!$A$2:$D$41,3,FALSE),"Merchant not found")</f>
        <v>grocery</v>
      </c>
      <c r="K432" t="str">
        <f>IFERROR(VLOOKUP($C432,Merchants!$A$2:$D$41,4,FALSE),"Merchant not found")</f>
        <v>North</v>
      </c>
      <c r="L432" s="3">
        <f>IFERROR(HLOOKUP(F432,Fee_Lookup!$B$1:$E$2,2,FALSE),"Method not found")</f>
        <v>7.4999999999999997E-3</v>
      </c>
      <c r="M432" s="6">
        <f t="shared" si="12"/>
        <v>0.36749999999999999</v>
      </c>
      <c r="N432" s="8">
        <f t="shared" si="13"/>
        <v>46047</v>
      </c>
    </row>
    <row r="433" spans="1:14" x14ac:dyDescent="0.4">
      <c r="A433" t="s">
        <v>500</v>
      </c>
      <c r="B433">
        <v>164</v>
      </c>
      <c r="C433">
        <v>37</v>
      </c>
      <c r="D433" s="2">
        <v>46049.98333333333</v>
      </c>
      <c r="E433">
        <v>799</v>
      </c>
      <c r="F433" t="s">
        <v>66</v>
      </c>
      <c r="G433" t="s">
        <v>64</v>
      </c>
      <c r="H433">
        <v>76</v>
      </c>
      <c r="I433" t="str">
        <f>IFERROR(VLOOKUP($C433,Merchants!$A$2:$D$41,2,FALSE),"Merchant not found")</f>
        <v>Merchant_037</v>
      </c>
      <c r="J433" t="str">
        <f>IFERROR(VLOOKUP($C433,Merchants!$A$2:$D$41,3,FALSE),"Merchant not found")</f>
        <v>entertainment</v>
      </c>
      <c r="K433" t="str">
        <f>IFERROR(VLOOKUP($C433,Merchants!$A$2:$D$41,4,FALSE),"Merchant not found")</f>
        <v>South</v>
      </c>
      <c r="L433" s="3">
        <f>IFERROR(HLOOKUP(F433,Fee_Lookup!$B$1:$E$2,2,FALSE),"Method not found")</f>
        <v>5.0000000000000001E-3</v>
      </c>
      <c r="M433" s="6">
        <f t="shared" si="12"/>
        <v>3.9950000000000001</v>
      </c>
      <c r="N433" s="8">
        <f t="shared" si="13"/>
        <v>46049</v>
      </c>
    </row>
    <row r="434" spans="1:14" x14ac:dyDescent="0.4">
      <c r="A434" t="s">
        <v>501</v>
      </c>
      <c r="B434">
        <v>165</v>
      </c>
      <c r="C434">
        <v>16</v>
      </c>
      <c r="D434" s="2">
        <v>46047.911111111112</v>
      </c>
      <c r="E434">
        <v>49</v>
      </c>
      <c r="F434" t="s">
        <v>63</v>
      </c>
      <c r="G434" t="s">
        <v>64</v>
      </c>
      <c r="H434">
        <v>38</v>
      </c>
      <c r="I434" t="str">
        <f>IFERROR(VLOOKUP($C434,Merchants!$A$2:$D$41,2,FALSE),"Merchant not found")</f>
        <v>Merchant_016</v>
      </c>
      <c r="J434" t="str">
        <f>IFERROR(VLOOKUP($C434,Merchants!$A$2:$D$41,3,FALSE),"Merchant not found")</f>
        <v>bill_payment</v>
      </c>
      <c r="K434" t="str">
        <f>IFERROR(VLOOKUP($C434,Merchants!$A$2:$D$41,4,FALSE),"Merchant not found")</f>
        <v>West</v>
      </c>
      <c r="L434" s="3">
        <f>IFERROR(HLOOKUP(F434,Fee_Lookup!$B$1:$E$2,2,FALSE),"Method not found")</f>
        <v>7.4999999999999997E-3</v>
      </c>
      <c r="M434" s="6">
        <f t="shared" si="12"/>
        <v>0.36749999999999999</v>
      </c>
      <c r="N434" s="8">
        <f t="shared" si="13"/>
        <v>46047</v>
      </c>
    </row>
    <row r="435" spans="1:14" x14ac:dyDescent="0.4">
      <c r="A435" t="s">
        <v>502</v>
      </c>
      <c r="B435">
        <v>267</v>
      </c>
      <c r="C435">
        <v>15</v>
      </c>
      <c r="D435" s="2">
        <v>46051.195833333331</v>
      </c>
      <c r="E435">
        <v>49</v>
      </c>
      <c r="F435" t="s">
        <v>69</v>
      </c>
      <c r="G435" t="s">
        <v>64</v>
      </c>
      <c r="H435">
        <v>52</v>
      </c>
      <c r="I435" t="str">
        <f>IFERROR(VLOOKUP($C435,Merchants!$A$2:$D$41,2,FALSE),"Merchant not found")</f>
        <v>Merchant_015</v>
      </c>
      <c r="J435" t="str">
        <f>IFERROR(VLOOKUP($C435,Merchants!$A$2:$D$41,3,FALSE),"Merchant not found")</f>
        <v>travel</v>
      </c>
      <c r="K435" t="str">
        <f>IFERROR(VLOOKUP($C435,Merchants!$A$2:$D$41,4,FALSE),"Merchant not found")</f>
        <v>North</v>
      </c>
      <c r="L435" s="3">
        <f>IFERROR(HLOOKUP(F435,Fee_Lookup!$B$1:$E$2,2,FALSE),"Method not found")</f>
        <v>0.01</v>
      </c>
      <c r="M435" s="6">
        <f t="shared" si="12"/>
        <v>0.49</v>
      </c>
      <c r="N435" s="8">
        <f t="shared" si="13"/>
        <v>46051</v>
      </c>
    </row>
    <row r="436" spans="1:14" x14ac:dyDescent="0.4">
      <c r="A436" t="s">
        <v>503</v>
      </c>
      <c r="B436">
        <v>286</v>
      </c>
      <c r="C436">
        <v>38</v>
      </c>
      <c r="D436" s="2">
        <v>46032.335416666669</v>
      </c>
      <c r="E436">
        <v>299</v>
      </c>
      <c r="F436" t="s">
        <v>63</v>
      </c>
      <c r="G436" t="s">
        <v>64</v>
      </c>
      <c r="H436">
        <v>94</v>
      </c>
      <c r="I436" t="str">
        <f>IFERROR(VLOOKUP($C436,Merchants!$A$2:$D$41,2,FALSE),"Merchant not found")</f>
        <v>Merchant_038</v>
      </c>
      <c r="J436" t="str">
        <f>IFERROR(VLOOKUP($C436,Merchants!$A$2:$D$41,3,FALSE),"Merchant not found")</f>
        <v>grocery</v>
      </c>
      <c r="K436" t="str">
        <f>IFERROR(VLOOKUP($C436,Merchants!$A$2:$D$41,4,FALSE),"Merchant not found")</f>
        <v>East</v>
      </c>
      <c r="L436" s="3">
        <f>IFERROR(HLOOKUP(F436,Fee_Lookup!$B$1:$E$2,2,FALSE),"Method not found")</f>
        <v>7.4999999999999997E-3</v>
      </c>
      <c r="M436" s="6">
        <f t="shared" si="12"/>
        <v>2.2424999999999997</v>
      </c>
      <c r="N436" s="8">
        <f t="shared" si="13"/>
        <v>46032</v>
      </c>
    </row>
    <row r="437" spans="1:14" x14ac:dyDescent="0.4">
      <c r="A437" t="s">
        <v>504</v>
      </c>
      <c r="B437">
        <v>348</v>
      </c>
      <c r="C437">
        <v>28</v>
      </c>
      <c r="D437" s="2">
        <v>46052.236111111109</v>
      </c>
      <c r="E437">
        <v>499</v>
      </c>
      <c r="F437" t="s">
        <v>78</v>
      </c>
      <c r="G437" t="s">
        <v>64</v>
      </c>
      <c r="H437">
        <v>71</v>
      </c>
      <c r="I437" t="str">
        <f>IFERROR(VLOOKUP($C437,Merchants!$A$2:$D$41,2,FALSE),"Merchant not found")</f>
        <v>Merchant_028</v>
      </c>
      <c r="J437" t="str">
        <f>IFERROR(VLOOKUP($C437,Merchants!$A$2:$D$41,3,FALSE),"Merchant not found")</f>
        <v>ecommerce</v>
      </c>
      <c r="K437" t="str">
        <f>IFERROR(VLOOKUP($C437,Merchants!$A$2:$D$41,4,FALSE),"Merchant not found")</f>
        <v>South</v>
      </c>
      <c r="L437" s="3">
        <f>IFERROR(HLOOKUP(F437,Fee_Lookup!$B$1:$E$2,2,FALSE),"Method not found")</f>
        <v>1.2E-2</v>
      </c>
      <c r="M437" s="6">
        <f t="shared" si="12"/>
        <v>5.9880000000000004</v>
      </c>
      <c r="N437" s="8">
        <f t="shared" si="13"/>
        <v>46052</v>
      </c>
    </row>
    <row r="438" spans="1:14" x14ac:dyDescent="0.4">
      <c r="A438" t="s">
        <v>505</v>
      </c>
      <c r="B438">
        <v>330</v>
      </c>
      <c r="C438">
        <v>25</v>
      </c>
      <c r="D438" s="2">
        <v>46038.056944444441</v>
      </c>
      <c r="E438">
        <v>799</v>
      </c>
      <c r="F438" t="s">
        <v>66</v>
      </c>
      <c r="G438" t="s">
        <v>64</v>
      </c>
      <c r="H438">
        <v>100</v>
      </c>
      <c r="I438" t="str">
        <f>IFERROR(VLOOKUP($C438,Merchants!$A$2:$D$41,2,FALSE),"Merchant not found")</f>
        <v>Merchant_025</v>
      </c>
      <c r="J438" t="str">
        <f>IFERROR(VLOOKUP($C438,Merchants!$A$2:$D$41,3,FALSE),"Merchant not found")</f>
        <v>travel</v>
      </c>
      <c r="K438" t="str">
        <f>IFERROR(VLOOKUP($C438,Merchants!$A$2:$D$41,4,FALSE),"Merchant not found")</f>
        <v>South</v>
      </c>
      <c r="L438" s="3">
        <f>IFERROR(HLOOKUP(F438,Fee_Lookup!$B$1:$E$2,2,FALSE),"Method not found")</f>
        <v>5.0000000000000001E-3</v>
      </c>
      <c r="M438" s="6">
        <f t="shared" si="12"/>
        <v>3.9950000000000001</v>
      </c>
      <c r="N438" s="8">
        <f t="shared" si="13"/>
        <v>46038</v>
      </c>
    </row>
    <row r="439" spans="1:14" x14ac:dyDescent="0.4">
      <c r="A439" t="s">
        <v>506</v>
      </c>
      <c r="B439">
        <v>214</v>
      </c>
      <c r="C439">
        <v>27</v>
      </c>
      <c r="D439" s="2">
        <v>46039.447222222225</v>
      </c>
      <c r="E439">
        <v>299</v>
      </c>
      <c r="F439" t="s">
        <v>78</v>
      </c>
      <c r="G439" t="s">
        <v>64</v>
      </c>
      <c r="H439">
        <v>19</v>
      </c>
      <c r="I439" t="str">
        <f>IFERROR(VLOOKUP($C439,Merchants!$A$2:$D$41,2,FALSE),"Merchant not found")</f>
        <v>Merchant_027</v>
      </c>
      <c r="J439" t="str">
        <f>IFERROR(VLOOKUP($C439,Merchants!$A$2:$D$41,3,FALSE),"Merchant not found")</f>
        <v>ecommerce</v>
      </c>
      <c r="K439" t="str">
        <f>IFERROR(VLOOKUP($C439,Merchants!$A$2:$D$41,4,FALSE),"Merchant not found")</f>
        <v>North</v>
      </c>
      <c r="L439" s="3">
        <f>IFERROR(HLOOKUP(F439,Fee_Lookup!$B$1:$E$2,2,FALSE),"Method not found")</f>
        <v>1.2E-2</v>
      </c>
      <c r="M439" s="6">
        <f t="shared" si="12"/>
        <v>3.5880000000000001</v>
      </c>
      <c r="N439" s="8">
        <f t="shared" si="13"/>
        <v>46039</v>
      </c>
    </row>
    <row r="440" spans="1:14" x14ac:dyDescent="0.4">
      <c r="A440" t="s">
        <v>507</v>
      </c>
      <c r="B440">
        <v>276</v>
      </c>
      <c r="C440">
        <v>31</v>
      </c>
      <c r="D440" s="2">
        <v>46032.507638888892</v>
      </c>
      <c r="E440">
        <v>499</v>
      </c>
      <c r="F440" t="s">
        <v>66</v>
      </c>
      <c r="G440" t="s">
        <v>64</v>
      </c>
      <c r="H440">
        <v>30</v>
      </c>
      <c r="I440" t="str">
        <f>IFERROR(VLOOKUP($C440,Merchants!$A$2:$D$41,2,FALSE),"Merchant not found")</f>
        <v>Merchant_031</v>
      </c>
      <c r="J440" t="str">
        <f>IFERROR(VLOOKUP($C440,Merchants!$A$2:$D$41,3,FALSE),"Merchant not found")</f>
        <v>bill_payment</v>
      </c>
      <c r="K440" t="str">
        <f>IFERROR(VLOOKUP($C440,Merchants!$A$2:$D$41,4,FALSE),"Merchant not found")</f>
        <v>East</v>
      </c>
      <c r="L440" s="3">
        <f>IFERROR(HLOOKUP(F440,Fee_Lookup!$B$1:$E$2,2,FALSE),"Method not found")</f>
        <v>5.0000000000000001E-3</v>
      </c>
      <c r="M440" s="6">
        <f t="shared" si="12"/>
        <v>2.4950000000000001</v>
      </c>
      <c r="N440" s="8">
        <f t="shared" si="13"/>
        <v>46032</v>
      </c>
    </row>
    <row r="441" spans="1:14" x14ac:dyDescent="0.4">
      <c r="A441" t="s">
        <v>508</v>
      </c>
      <c r="B441">
        <v>74</v>
      </c>
      <c r="C441">
        <v>30</v>
      </c>
      <c r="D441" s="2">
        <v>46050.304861111108</v>
      </c>
      <c r="E441">
        <v>49</v>
      </c>
      <c r="F441" t="s">
        <v>66</v>
      </c>
      <c r="G441" t="s">
        <v>64</v>
      </c>
      <c r="H441">
        <v>7</v>
      </c>
      <c r="I441" t="str">
        <f>IFERROR(VLOOKUP($C441,Merchants!$A$2:$D$41,2,FALSE),"Merchant not found")</f>
        <v>Merchant_030</v>
      </c>
      <c r="J441" t="str">
        <f>IFERROR(VLOOKUP($C441,Merchants!$A$2:$D$41,3,FALSE),"Merchant not found")</f>
        <v>travel</v>
      </c>
      <c r="K441" t="str">
        <f>IFERROR(VLOOKUP($C441,Merchants!$A$2:$D$41,4,FALSE),"Merchant not found")</f>
        <v>West</v>
      </c>
      <c r="L441" s="3">
        <f>IFERROR(HLOOKUP(F441,Fee_Lookup!$B$1:$E$2,2,FALSE),"Method not found")</f>
        <v>5.0000000000000001E-3</v>
      </c>
      <c r="M441" s="6">
        <f t="shared" si="12"/>
        <v>0.245</v>
      </c>
      <c r="N441" s="8">
        <f t="shared" si="13"/>
        <v>46050</v>
      </c>
    </row>
    <row r="442" spans="1:14" x14ac:dyDescent="0.4">
      <c r="A442" t="s">
        <v>509</v>
      </c>
      <c r="B442">
        <v>286</v>
      </c>
      <c r="C442">
        <v>34</v>
      </c>
      <c r="D442" s="2">
        <v>46040.55972222222</v>
      </c>
      <c r="E442">
        <v>49</v>
      </c>
      <c r="F442" t="s">
        <v>78</v>
      </c>
      <c r="G442" t="s">
        <v>64</v>
      </c>
      <c r="H442">
        <v>17</v>
      </c>
      <c r="I442" t="str">
        <f>IFERROR(VLOOKUP($C442,Merchants!$A$2:$D$41,2,FALSE),"Merchant not found")</f>
        <v>Merchant_034</v>
      </c>
      <c r="J442" t="str">
        <f>IFERROR(VLOOKUP($C442,Merchants!$A$2:$D$41,3,FALSE),"Merchant not found")</f>
        <v>travel</v>
      </c>
      <c r="K442" t="str">
        <f>IFERROR(VLOOKUP($C442,Merchants!$A$2:$D$41,4,FALSE),"Merchant not found")</f>
        <v>South</v>
      </c>
      <c r="L442" s="3">
        <f>IFERROR(HLOOKUP(F442,Fee_Lookup!$B$1:$E$2,2,FALSE),"Method not found")</f>
        <v>1.2E-2</v>
      </c>
      <c r="M442" s="6">
        <f t="shared" si="12"/>
        <v>0.58799999999999997</v>
      </c>
      <c r="N442" s="8">
        <f t="shared" si="13"/>
        <v>46040</v>
      </c>
    </row>
    <row r="443" spans="1:14" x14ac:dyDescent="0.4">
      <c r="A443" t="s">
        <v>510</v>
      </c>
      <c r="B443">
        <v>105</v>
      </c>
      <c r="C443">
        <v>22</v>
      </c>
      <c r="D443" s="2">
        <v>46035.302777777775</v>
      </c>
      <c r="E443">
        <v>4999</v>
      </c>
      <c r="F443" t="s">
        <v>66</v>
      </c>
      <c r="G443" t="s">
        <v>64</v>
      </c>
      <c r="H443">
        <v>82</v>
      </c>
      <c r="I443" t="str">
        <f>IFERROR(VLOOKUP($C443,Merchants!$A$2:$D$41,2,FALSE),"Merchant not found")</f>
        <v>Merchant_022</v>
      </c>
      <c r="J443" t="str">
        <f>IFERROR(VLOOKUP($C443,Merchants!$A$2:$D$41,3,FALSE),"Merchant not found")</f>
        <v>travel</v>
      </c>
      <c r="K443" t="str">
        <f>IFERROR(VLOOKUP($C443,Merchants!$A$2:$D$41,4,FALSE),"Merchant not found")</f>
        <v>South</v>
      </c>
      <c r="L443" s="3">
        <f>IFERROR(HLOOKUP(F443,Fee_Lookup!$B$1:$E$2,2,FALSE),"Method not found")</f>
        <v>5.0000000000000001E-3</v>
      </c>
      <c r="M443" s="6">
        <f t="shared" si="12"/>
        <v>24.995000000000001</v>
      </c>
      <c r="N443" s="8">
        <f t="shared" si="13"/>
        <v>46035</v>
      </c>
    </row>
    <row r="444" spans="1:14" x14ac:dyDescent="0.4">
      <c r="A444" t="s">
        <v>511</v>
      </c>
      <c r="B444">
        <v>190</v>
      </c>
      <c r="C444">
        <v>6</v>
      </c>
      <c r="D444" s="2">
        <v>46025.620833333334</v>
      </c>
      <c r="E444">
        <v>799</v>
      </c>
      <c r="F444" t="s">
        <v>63</v>
      </c>
      <c r="G444" t="s">
        <v>64</v>
      </c>
      <c r="H444">
        <v>68</v>
      </c>
      <c r="I444" t="str">
        <f>IFERROR(VLOOKUP($C444,Merchants!$A$2:$D$41,2,FALSE),"Merchant not found")</f>
        <v>Merchant_006</v>
      </c>
      <c r="J444" t="str">
        <f>IFERROR(VLOOKUP($C444,Merchants!$A$2:$D$41,3,FALSE),"Merchant not found")</f>
        <v>food_delivery</v>
      </c>
      <c r="K444" t="str">
        <f>IFERROR(VLOOKUP($C444,Merchants!$A$2:$D$41,4,FALSE),"Merchant not found")</f>
        <v>South</v>
      </c>
      <c r="L444" s="3">
        <f>IFERROR(HLOOKUP(F444,Fee_Lookup!$B$1:$E$2,2,FALSE),"Method not found")</f>
        <v>7.4999999999999997E-3</v>
      </c>
      <c r="M444" s="6">
        <f t="shared" si="12"/>
        <v>5.9924999999999997</v>
      </c>
      <c r="N444" s="8">
        <f t="shared" si="13"/>
        <v>46025</v>
      </c>
    </row>
    <row r="445" spans="1:14" x14ac:dyDescent="0.4">
      <c r="A445" t="s">
        <v>512</v>
      </c>
      <c r="B445">
        <v>138</v>
      </c>
      <c r="C445">
        <v>25</v>
      </c>
      <c r="D445" s="2">
        <v>46046.252083333333</v>
      </c>
      <c r="E445">
        <v>299</v>
      </c>
      <c r="F445" t="s">
        <v>63</v>
      </c>
      <c r="G445" t="s">
        <v>64</v>
      </c>
      <c r="H445">
        <v>86</v>
      </c>
      <c r="I445" t="str">
        <f>IFERROR(VLOOKUP($C445,Merchants!$A$2:$D$41,2,FALSE),"Merchant not found")</f>
        <v>Merchant_025</v>
      </c>
      <c r="J445" t="str">
        <f>IFERROR(VLOOKUP($C445,Merchants!$A$2:$D$41,3,FALSE),"Merchant not found")</f>
        <v>travel</v>
      </c>
      <c r="K445" t="str">
        <f>IFERROR(VLOOKUP($C445,Merchants!$A$2:$D$41,4,FALSE),"Merchant not found")</f>
        <v>South</v>
      </c>
      <c r="L445" s="3">
        <f>IFERROR(HLOOKUP(F445,Fee_Lookup!$B$1:$E$2,2,FALSE),"Method not found")</f>
        <v>7.4999999999999997E-3</v>
      </c>
      <c r="M445" s="6">
        <f t="shared" si="12"/>
        <v>2.2424999999999997</v>
      </c>
      <c r="N445" s="8">
        <f t="shared" si="13"/>
        <v>46046</v>
      </c>
    </row>
    <row r="446" spans="1:14" x14ac:dyDescent="0.4">
      <c r="A446" t="s">
        <v>513</v>
      </c>
      <c r="B446">
        <v>38</v>
      </c>
      <c r="C446">
        <v>13</v>
      </c>
      <c r="D446" s="2">
        <v>46042.793055555558</v>
      </c>
      <c r="E446">
        <v>4999</v>
      </c>
      <c r="F446" t="s">
        <v>69</v>
      </c>
      <c r="G446" t="s">
        <v>64</v>
      </c>
      <c r="H446">
        <v>97</v>
      </c>
      <c r="I446" t="str">
        <f>IFERROR(VLOOKUP($C446,Merchants!$A$2:$D$41,2,FALSE),"Merchant not found")</f>
        <v>Merchant_013</v>
      </c>
      <c r="J446" t="str">
        <f>IFERROR(VLOOKUP($C446,Merchants!$A$2:$D$41,3,FALSE),"Merchant not found")</f>
        <v>travel</v>
      </c>
      <c r="K446" t="str">
        <f>IFERROR(VLOOKUP($C446,Merchants!$A$2:$D$41,4,FALSE),"Merchant not found")</f>
        <v>East</v>
      </c>
      <c r="L446" s="3">
        <f>IFERROR(HLOOKUP(F446,Fee_Lookup!$B$1:$E$2,2,FALSE),"Method not found")</f>
        <v>0.01</v>
      </c>
      <c r="M446" s="6">
        <f t="shared" si="12"/>
        <v>49.99</v>
      </c>
      <c r="N446" s="8">
        <f t="shared" si="13"/>
        <v>46042</v>
      </c>
    </row>
    <row r="447" spans="1:14" x14ac:dyDescent="0.4">
      <c r="A447" t="s">
        <v>514</v>
      </c>
      <c r="B447">
        <v>287</v>
      </c>
      <c r="C447">
        <v>14</v>
      </c>
      <c r="D447" s="2">
        <v>46041.987500000003</v>
      </c>
      <c r="E447">
        <v>99</v>
      </c>
      <c r="F447" t="s">
        <v>63</v>
      </c>
      <c r="G447" t="s">
        <v>64</v>
      </c>
      <c r="H447">
        <v>61</v>
      </c>
      <c r="I447" t="str">
        <f>IFERROR(VLOOKUP($C447,Merchants!$A$2:$D$41,2,FALSE),"Merchant not found")</f>
        <v>Merchant_014</v>
      </c>
      <c r="J447" t="str">
        <f>IFERROR(VLOOKUP($C447,Merchants!$A$2:$D$41,3,FALSE),"Merchant not found")</f>
        <v>grocery</v>
      </c>
      <c r="K447" t="str">
        <f>IFERROR(VLOOKUP($C447,Merchants!$A$2:$D$41,4,FALSE),"Merchant not found")</f>
        <v>East</v>
      </c>
      <c r="L447" s="3">
        <f>IFERROR(HLOOKUP(F447,Fee_Lookup!$B$1:$E$2,2,FALSE),"Method not found")</f>
        <v>7.4999999999999997E-3</v>
      </c>
      <c r="M447" s="6">
        <f t="shared" si="12"/>
        <v>0.74249999999999994</v>
      </c>
      <c r="N447" s="8">
        <f t="shared" si="13"/>
        <v>46041</v>
      </c>
    </row>
    <row r="448" spans="1:14" x14ac:dyDescent="0.4">
      <c r="A448" t="s">
        <v>515</v>
      </c>
      <c r="B448">
        <v>8</v>
      </c>
      <c r="C448">
        <v>14</v>
      </c>
      <c r="D448" s="2">
        <v>46029.429861111108</v>
      </c>
      <c r="E448">
        <v>49</v>
      </c>
      <c r="F448" t="s">
        <v>66</v>
      </c>
      <c r="G448" t="s">
        <v>64</v>
      </c>
      <c r="H448">
        <v>24</v>
      </c>
      <c r="I448" t="str">
        <f>IFERROR(VLOOKUP($C448,Merchants!$A$2:$D$41,2,FALSE),"Merchant not found")</f>
        <v>Merchant_014</v>
      </c>
      <c r="J448" t="str">
        <f>IFERROR(VLOOKUP($C448,Merchants!$A$2:$D$41,3,FALSE),"Merchant not found")</f>
        <v>grocery</v>
      </c>
      <c r="K448" t="str">
        <f>IFERROR(VLOOKUP($C448,Merchants!$A$2:$D$41,4,FALSE),"Merchant not found")</f>
        <v>East</v>
      </c>
      <c r="L448" s="3">
        <f>IFERROR(HLOOKUP(F448,Fee_Lookup!$B$1:$E$2,2,FALSE),"Method not found")</f>
        <v>5.0000000000000001E-3</v>
      </c>
      <c r="M448" s="6">
        <f t="shared" si="12"/>
        <v>0.245</v>
      </c>
      <c r="N448" s="8">
        <f t="shared" si="13"/>
        <v>46029</v>
      </c>
    </row>
    <row r="449" spans="1:14" x14ac:dyDescent="0.4">
      <c r="A449" t="s">
        <v>516</v>
      </c>
      <c r="B449">
        <v>246</v>
      </c>
      <c r="C449">
        <v>16</v>
      </c>
      <c r="D449" s="2">
        <v>46046.157638888886</v>
      </c>
      <c r="E449">
        <v>1499</v>
      </c>
      <c r="F449" t="s">
        <v>63</v>
      </c>
      <c r="G449" t="s">
        <v>64</v>
      </c>
      <c r="H449">
        <v>89</v>
      </c>
      <c r="I449" t="str">
        <f>IFERROR(VLOOKUP($C449,Merchants!$A$2:$D$41,2,FALSE),"Merchant not found")</f>
        <v>Merchant_016</v>
      </c>
      <c r="J449" t="str">
        <f>IFERROR(VLOOKUP($C449,Merchants!$A$2:$D$41,3,FALSE),"Merchant not found")</f>
        <v>bill_payment</v>
      </c>
      <c r="K449" t="str">
        <f>IFERROR(VLOOKUP($C449,Merchants!$A$2:$D$41,4,FALSE),"Merchant not found")</f>
        <v>West</v>
      </c>
      <c r="L449" s="3">
        <f>IFERROR(HLOOKUP(F449,Fee_Lookup!$B$1:$E$2,2,FALSE),"Method not found")</f>
        <v>7.4999999999999997E-3</v>
      </c>
      <c r="M449" s="6">
        <f t="shared" si="12"/>
        <v>11.2425</v>
      </c>
      <c r="N449" s="8">
        <f t="shared" si="13"/>
        <v>46046</v>
      </c>
    </row>
    <row r="450" spans="1:14" x14ac:dyDescent="0.4">
      <c r="A450" t="s">
        <v>517</v>
      </c>
      <c r="B450">
        <v>204</v>
      </c>
      <c r="C450">
        <v>16</v>
      </c>
      <c r="D450" s="2">
        <v>46042.925694444442</v>
      </c>
      <c r="E450">
        <v>149</v>
      </c>
      <c r="F450" t="s">
        <v>66</v>
      </c>
      <c r="G450" t="s">
        <v>64</v>
      </c>
      <c r="H450">
        <v>70</v>
      </c>
      <c r="I450" t="str">
        <f>IFERROR(VLOOKUP($C450,Merchants!$A$2:$D$41,2,FALSE),"Merchant not found")</f>
        <v>Merchant_016</v>
      </c>
      <c r="J450" t="str">
        <f>IFERROR(VLOOKUP($C450,Merchants!$A$2:$D$41,3,FALSE),"Merchant not found")</f>
        <v>bill_payment</v>
      </c>
      <c r="K450" t="str">
        <f>IFERROR(VLOOKUP($C450,Merchants!$A$2:$D$41,4,FALSE),"Merchant not found")</f>
        <v>West</v>
      </c>
      <c r="L450" s="3">
        <f>IFERROR(HLOOKUP(F450,Fee_Lookup!$B$1:$E$2,2,FALSE),"Method not found")</f>
        <v>5.0000000000000001E-3</v>
      </c>
      <c r="M450" s="6">
        <f t="shared" si="12"/>
        <v>0.745</v>
      </c>
      <c r="N450" s="8">
        <f t="shared" si="13"/>
        <v>46042</v>
      </c>
    </row>
    <row r="451" spans="1:14" x14ac:dyDescent="0.4">
      <c r="A451" t="s">
        <v>518</v>
      </c>
      <c r="B451">
        <v>239</v>
      </c>
      <c r="C451">
        <v>35</v>
      </c>
      <c r="D451" s="2">
        <v>46033.39166666667</v>
      </c>
      <c r="E451">
        <v>4999</v>
      </c>
      <c r="F451" t="s">
        <v>66</v>
      </c>
      <c r="G451" t="s">
        <v>64</v>
      </c>
      <c r="H451">
        <v>83</v>
      </c>
      <c r="I451" t="str">
        <f>IFERROR(VLOOKUP($C451,Merchants!$A$2:$D$41,2,FALSE),"Merchant not found")</f>
        <v>Merchant_035</v>
      </c>
      <c r="J451" t="str">
        <f>IFERROR(VLOOKUP($C451,Merchants!$A$2:$D$41,3,FALSE),"Merchant not found")</f>
        <v>recharge</v>
      </c>
      <c r="K451" t="str">
        <f>IFERROR(VLOOKUP($C451,Merchants!$A$2:$D$41,4,FALSE),"Merchant not found")</f>
        <v>East</v>
      </c>
      <c r="L451" s="3">
        <f>IFERROR(HLOOKUP(F451,Fee_Lookup!$B$1:$E$2,2,FALSE),"Method not found")</f>
        <v>5.0000000000000001E-3</v>
      </c>
      <c r="M451" s="6">
        <f t="shared" ref="M451:M514" si="14">E451*L451</f>
        <v>24.995000000000001</v>
      </c>
      <c r="N451" s="8">
        <f t="shared" ref="N451:N514" si="15">INT(D451)</f>
        <v>46033</v>
      </c>
    </row>
    <row r="452" spans="1:14" x14ac:dyDescent="0.4">
      <c r="A452" t="s">
        <v>519</v>
      </c>
      <c r="B452">
        <v>185</v>
      </c>
      <c r="C452">
        <v>33</v>
      </c>
      <c r="D452" s="2">
        <v>46034.386111111111</v>
      </c>
      <c r="E452">
        <v>299</v>
      </c>
      <c r="F452" t="s">
        <v>66</v>
      </c>
      <c r="G452" t="s">
        <v>64</v>
      </c>
      <c r="H452">
        <v>63</v>
      </c>
      <c r="I452" t="str">
        <f>IFERROR(VLOOKUP($C452,Merchants!$A$2:$D$41,2,FALSE),"Merchant not found")</f>
        <v>Merchant_033</v>
      </c>
      <c r="J452" t="str">
        <f>IFERROR(VLOOKUP($C452,Merchants!$A$2:$D$41,3,FALSE),"Merchant not found")</f>
        <v>bill_payment</v>
      </c>
      <c r="K452" t="str">
        <f>IFERROR(VLOOKUP($C452,Merchants!$A$2:$D$41,4,FALSE),"Merchant not found")</f>
        <v>East</v>
      </c>
      <c r="L452" s="3">
        <f>IFERROR(HLOOKUP(F452,Fee_Lookup!$B$1:$E$2,2,FALSE),"Method not found")</f>
        <v>5.0000000000000001E-3</v>
      </c>
      <c r="M452" s="6">
        <f t="shared" si="14"/>
        <v>1.4950000000000001</v>
      </c>
      <c r="N452" s="8">
        <f t="shared" si="15"/>
        <v>46034</v>
      </c>
    </row>
    <row r="453" spans="1:14" x14ac:dyDescent="0.4">
      <c r="A453" t="s">
        <v>520</v>
      </c>
      <c r="B453">
        <v>241</v>
      </c>
      <c r="C453">
        <v>21</v>
      </c>
      <c r="D453" s="2">
        <v>46037.160416666666</v>
      </c>
      <c r="E453">
        <v>299</v>
      </c>
      <c r="F453" t="s">
        <v>78</v>
      </c>
      <c r="G453" t="s">
        <v>64</v>
      </c>
      <c r="H453">
        <v>26</v>
      </c>
      <c r="I453" t="str">
        <f>IFERROR(VLOOKUP($C453,Merchants!$A$2:$D$41,2,FALSE),"Merchant not found")</f>
        <v>Merchant_021</v>
      </c>
      <c r="J453" t="str">
        <f>IFERROR(VLOOKUP($C453,Merchants!$A$2:$D$41,3,FALSE),"Merchant not found")</f>
        <v>food_delivery</v>
      </c>
      <c r="K453" t="str">
        <f>IFERROR(VLOOKUP($C453,Merchants!$A$2:$D$41,4,FALSE),"Merchant not found")</f>
        <v>East</v>
      </c>
      <c r="L453" s="3">
        <f>IFERROR(HLOOKUP(F453,Fee_Lookup!$B$1:$E$2,2,FALSE),"Method not found")</f>
        <v>1.2E-2</v>
      </c>
      <c r="M453" s="6">
        <f t="shared" si="14"/>
        <v>3.5880000000000001</v>
      </c>
      <c r="N453" s="8">
        <f t="shared" si="15"/>
        <v>46037</v>
      </c>
    </row>
    <row r="454" spans="1:14" x14ac:dyDescent="0.4">
      <c r="A454" t="s">
        <v>521</v>
      </c>
      <c r="B454">
        <v>24</v>
      </c>
      <c r="C454">
        <v>37</v>
      </c>
      <c r="D454" s="2">
        <v>46034.43472222222</v>
      </c>
      <c r="E454">
        <v>149</v>
      </c>
      <c r="F454" t="s">
        <v>66</v>
      </c>
      <c r="G454" t="s">
        <v>64</v>
      </c>
      <c r="H454">
        <v>28</v>
      </c>
      <c r="I454" t="str">
        <f>IFERROR(VLOOKUP($C454,Merchants!$A$2:$D$41,2,FALSE),"Merchant not found")</f>
        <v>Merchant_037</v>
      </c>
      <c r="J454" t="str">
        <f>IFERROR(VLOOKUP($C454,Merchants!$A$2:$D$41,3,FALSE),"Merchant not found")</f>
        <v>entertainment</v>
      </c>
      <c r="K454" t="str">
        <f>IFERROR(VLOOKUP($C454,Merchants!$A$2:$D$41,4,FALSE),"Merchant not found")</f>
        <v>South</v>
      </c>
      <c r="L454" s="3">
        <f>IFERROR(HLOOKUP(F454,Fee_Lookup!$B$1:$E$2,2,FALSE),"Method not found")</f>
        <v>5.0000000000000001E-3</v>
      </c>
      <c r="M454" s="6">
        <f t="shared" si="14"/>
        <v>0.745</v>
      </c>
      <c r="N454" s="8">
        <f t="shared" si="15"/>
        <v>46034</v>
      </c>
    </row>
    <row r="455" spans="1:14" x14ac:dyDescent="0.4">
      <c r="A455" t="s">
        <v>522</v>
      </c>
      <c r="B455">
        <v>134</v>
      </c>
      <c r="C455">
        <v>36</v>
      </c>
      <c r="D455" s="2">
        <v>46046.167361111111</v>
      </c>
      <c r="E455">
        <v>1499</v>
      </c>
      <c r="F455" t="s">
        <v>66</v>
      </c>
      <c r="G455" t="s">
        <v>64</v>
      </c>
      <c r="H455">
        <v>74</v>
      </c>
      <c r="I455" t="str">
        <f>IFERROR(VLOOKUP($C455,Merchants!$A$2:$D$41,2,FALSE),"Merchant not found")</f>
        <v>Merchant_036</v>
      </c>
      <c r="J455" t="str">
        <f>IFERROR(VLOOKUP($C455,Merchants!$A$2:$D$41,3,FALSE),"Merchant not found")</f>
        <v>entertainment</v>
      </c>
      <c r="K455" t="str">
        <f>IFERROR(VLOOKUP($C455,Merchants!$A$2:$D$41,4,FALSE),"Merchant not found")</f>
        <v>East</v>
      </c>
      <c r="L455" s="3">
        <f>IFERROR(HLOOKUP(F455,Fee_Lookup!$B$1:$E$2,2,FALSE),"Method not found")</f>
        <v>5.0000000000000001E-3</v>
      </c>
      <c r="M455" s="6">
        <f t="shared" si="14"/>
        <v>7.4950000000000001</v>
      </c>
      <c r="N455" s="8">
        <f t="shared" si="15"/>
        <v>46046</v>
      </c>
    </row>
    <row r="456" spans="1:14" x14ac:dyDescent="0.4">
      <c r="A456" t="s">
        <v>523</v>
      </c>
      <c r="B456">
        <v>152</v>
      </c>
      <c r="C456">
        <v>10</v>
      </c>
      <c r="D456" s="2">
        <v>46041.976388888892</v>
      </c>
      <c r="E456">
        <v>499</v>
      </c>
      <c r="F456" t="s">
        <v>63</v>
      </c>
      <c r="G456" t="s">
        <v>64</v>
      </c>
      <c r="H456">
        <v>25</v>
      </c>
      <c r="I456" t="str">
        <f>IFERROR(VLOOKUP($C456,Merchants!$A$2:$D$41,2,FALSE),"Merchant not found")</f>
        <v>Merchant_010</v>
      </c>
      <c r="J456" t="str">
        <f>IFERROR(VLOOKUP($C456,Merchants!$A$2:$D$41,3,FALSE),"Merchant not found")</f>
        <v>grocery</v>
      </c>
      <c r="K456" t="str">
        <f>IFERROR(VLOOKUP($C456,Merchants!$A$2:$D$41,4,FALSE),"Merchant not found")</f>
        <v>West</v>
      </c>
      <c r="L456" s="3">
        <f>IFERROR(HLOOKUP(F456,Fee_Lookup!$B$1:$E$2,2,FALSE),"Method not found")</f>
        <v>7.4999999999999997E-3</v>
      </c>
      <c r="M456" s="6">
        <f t="shared" si="14"/>
        <v>3.7424999999999997</v>
      </c>
      <c r="N456" s="8">
        <f t="shared" si="15"/>
        <v>46041</v>
      </c>
    </row>
    <row r="457" spans="1:14" x14ac:dyDescent="0.4">
      <c r="A457" t="s">
        <v>524</v>
      </c>
      <c r="B457">
        <v>292</v>
      </c>
      <c r="C457">
        <v>16</v>
      </c>
      <c r="D457" s="2">
        <v>46033.308333333334</v>
      </c>
      <c r="E457">
        <v>499</v>
      </c>
      <c r="F457" t="s">
        <v>69</v>
      </c>
      <c r="G457" t="s">
        <v>64</v>
      </c>
      <c r="H457">
        <v>63</v>
      </c>
      <c r="I457" t="str">
        <f>IFERROR(VLOOKUP($C457,Merchants!$A$2:$D$41,2,FALSE),"Merchant not found")</f>
        <v>Merchant_016</v>
      </c>
      <c r="J457" t="str">
        <f>IFERROR(VLOOKUP($C457,Merchants!$A$2:$D$41,3,FALSE),"Merchant not found")</f>
        <v>bill_payment</v>
      </c>
      <c r="K457" t="str">
        <f>IFERROR(VLOOKUP($C457,Merchants!$A$2:$D$41,4,FALSE),"Merchant not found")</f>
        <v>West</v>
      </c>
      <c r="L457" s="3">
        <f>IFERROR(HLOOKUP(F457,Fee_Lookup!$B$1:$E$2,2,FALSE),"Method not found")</f>
        <v>0.01</v>
      </c>
      <c r="M457" s="6">
        <f t="shared" si="14"/>
        <v>4.99</v>
      </c>
      <c r="N457" s="8">
        <f t="shared" si="15"/>
        <v>46033</v>
      </c>
    </row>
    <row r="458" spans="1:14" x14ac:dyDescent="0.4">
      <c r="A458" t="s">
        <v>525</v>
      </c>
      <c r="B458">
        <v>173</v>
      </c>
      <c r="C458">
        <v>17</v>
      </c>
      <c r="D458" s="2">
        <v>46040.863194444442</v>
      </c>
      <c r="E458">
        <v>99</v>
      </c>
      <c r="F458" t="s">
        <v>69</v>
      </c>
      <c r="G458" t="s">
        <v>64</v>
      </c>
      <c r="H458">
        <v>97</v>
      </c>
      <c r="I458" t="str">
        <f>IFERROR(VLOOKUP($C458,Merchants!$A$2:$D$41,2,FALSE),"Merchant not found")</f>
        <v>Merchant_017</v>
      </c>
      <c r="J458" t="str">
        <f>IFERROR(VLOOKUP($C458,Merchants!$A$2:$D$41,3,FALSE),"Merchant not found")</f>
        <v>grocery</v>
      </c>
      <c r="K458" t="str">
        <f>IFERROR(VLOOKUP($C458,Merchants!$A$2:$D$41,4,FALSE),"Merchant not found")</f>
        <v>North</v>
      </c>
      <c r="L458" s="3">
        <f>IFERROR(HLOOKUP(F458,Fee_Lookup!$B$1:$E$2,2,FALSE),"Method not found")</f>
        <v>0.01</v>
      </c>
      <c r="M458" s="6">
        <f t="shared" si="14"/>
        <v>0.99</v>
      </c>
      <c r="N458" s="8">
        <f t="shared" si="15"/>
        <v>46040</v>
      </c>
    </row>
    <row r="459" spans="1:14" x14ac:dyDescent="0.4">
      <c r="A459" t="s">
        <v>526</v>
      </c>
      <c r="B459">
        <v>329</v>
      </c>
      <c r="C459">
        <v>32</v>
      </c>
      <c r="D459" s="2">
        <v>46049.656944444447</v>
      </c>
      <c r="E459">
        <v>1499</v>
      </c>
      <c r="F459" t="s">
        <v>66</v>
      </c>
      <c r="G459" t="s">
        <v>64</v>
      </c>
      <c r="H459">
        <v>58</v>
      </c>
      <c r="I459" t="str">
        <f>IFERROR(VLOOKUP($C459,Merchants!$A$2:$D$41,2,FALSE),"Merchant not found")</f>
        <v>Merchant_032</v>
      </c>
      <c r="J459" t="str">
        <f>IFERROR(VLOOKUP($C459,Merchants!$A$2:$D$41,3,FALSE),"Merchant not found")</f>
        <v>food_delivery</v>
      </c>
      <c r="K459" t="str">
        <f>IFERROR(VLOOKUP($C459,Merchants!$A$2:$D$41,4,FALSE),"Merchant not found")</f>
        <v>West</v>
      </c>
      <c r="L459" s="3">
        <f>IFERROR(HLOOKUP(F459,Fee_Lookup!$B$1:$E$2,2,FALSE),"Method not found")</f>
        <v>5.0000000000000001E-3</v>
      </c>
      <c r="M459" s="6">
        <f t="shared" si="14"/>
        <v>7.4950000000000001</v>
      </c>
      <c r="N459" s="8">
        <f t="shared" si="15"/>
        <v>46049</v>
      </c>
    </row>
    <row r="460" spans="1:14" x14ac:dyDescent="0.4">
      <c r="A460" t="s">
        <v>527</v>
      </c>
      <c r="B460">
        <v>181</v>
      </c>
      <c r="C460">
        <v>11</v>
      </c>
      <c r="D460" s="2">
        <v>46028.993055555555</v>
      </c>
      <c r="E460">
        <v>1499</v>
      </c>
      <c r="F460" t="s">
        <v>66</v>
      </c>
      <c r="G460" t="s">
        <v>64</v>
      </c>
      <c r="H460">
        <v>17</v>
      </c>
      <c r="I460" t="str">
        <f>IFERROR(VLOOKUP($C460,Merchants!$A$2:$D$41,2,FALSE),"Merchant not found")</f>
        <v>Merchant_011</v>
      </c>
      <c r="J460" t="str">
        <f>IFERROR(VLOOKUP($C460,Merchants!$A$2:$D$41,3,FALSE),"Merchant not found")</f>
        <v>ecommerce</v>
      </c>
      <c r="K460" t="str">
        <f>IFERROR(VLOOKUP($C460,Merchants!$A$2:$D$41,4,FALSE),"Merchant not found")</f>
        <v>North</v>
      </c>
      <c r="L460" s="3">
        <f>IFERROR(HLOOKUP(F460,Fee_Lookup!$B$1:$E$2,2,FALSE),"Method not found")</f>
        <v>5.0000000000000001E-3</v>
      </c>
      <c r="M460" s="6">
        <f t="shared" si="14"/>
        <v>7.4950000000000001</v>
      </c>
      <c r="N460" s="8">
        <f t="shared" si="15"/>
        <v>46028</v>
      </c>
    </row>
    <row r="461" spans="1:14" x14ac:dyDescent="0.4">
      <c r="A461" t="s">
        <v>528</v>
      </c>
      <c r="B461">
        <v>95</v>
      </c>
      <c r="C461">
        <v>35</v>
      </c>
      <c r="D461" s="2">
        <v>46046.729861111111</v>
      </c>
      <c r="E461">
        <v>149</v>
      </c>
      <c r="F461" t="s">
        <v>63</v>
      </c>
      <c r="G461" t="s">
        <v>64</v>
      </c>
      <c r="H461">
        <v>82</v>
      </c>
      <c r="I461" t="str">
        <f>IFERROR(VLOOKUP($C461,Merchants!$A$2:$D$41,2,FALSE),"Merchant not found")</f>
        <v>Merchant_035</v>
      </c>
      <c r="J461" t="str">
        <f>IFERROR(VLOOKUP($C461,Merchants!$A$2:$D$41,3,FALSE),"Merchant not found")</f>
        <v>recharge</v>
      </c>
      <c r="K461" t="str">
        <f>IFERROR(VLOOKUP($C461,Merchants!$A$2:$D$41,4,FALSE),"Merchant not found")</f>
        <v>East</v>
      </c>
      <c r="L461" s="3">
        <f>IFERROR(HLOOKUP(F461,Fee_Lookup!$B$1:$E$2,2,FALSE),"Method not found")</f>
        <v>7.4999999999999997E-3</v>
      </c>
      <c r="M461" s="6">
        <f t="shared" si="14"/>
        <v>1.1174999999999999</v>
      </c>
      <c r="N461" s="8">
        <f t="shared" si="15"/>
        <v>46046</v>
      </c>
    </row>
    <row r="462" spans="1:14" x14ac:dyDescent="0.4">
      <c r="A462" t="s">
        <v>529</v>
      </c>
      <c r="B462">
        <v>39</v>
      </c>
      <c r="C462">
        <v>4</v>
      </c>
      <c r="D462" s="2">
        <v>46024.668055555558</v>
      </c>
      <c r="E462">
        <v>149</v>
      </c>
      <c r="F462" t="s">
        <v>69</v>
      </c>
      <c r="G462" t="s">
        <v>64</v>
      </c>
      <c r="H462">
        <v>97</v>
      </c>
      <c r="I462" t="str">
        <f>IFERROR(VLOOKUP($C462,Merchants!$A$2:$D$41,2,FALSE),"Merchant not found")</f>
        <v>Merchant_004</v>
      </c>
      <c r="J462" t="str">
        <f>IFERROR(VLOOKUP($C462,Merchants!$A$2:$D$41,3,FALSE),"Merchant not found")</f>
        <v>ecommerce</v>
      </c>
      <c r="K462" t="str">
        <f>IFERROR(VLOOKUP($C462,Merchants!$A$2:$D$41,4,FALSE),"Merchant not found")</f>
        <v>East</v>
      </c>
      <c r="L462" s="3">
        <f>IFERROR(HLOOKUP(F462,Fee_Lookup!$B$1:$E$2,2,FALSE),"Method not found")</f>
        <v>0.01</v>
      </c>
      <c r="M462" s="6">
        <f t="shared" si="14"/>
        <v>1.49</v>
      </c>
      <c r="N462" s="8">
        <f t="shared" si="15"/>
        <v>46024</v>
      </c>
    </row>
    <row r="463" spans="1:14" x14ac:dyDescent="0.4">
      <c r="A463" t="s">
        <v>530</v>
      </c>
      <c r="B463">
        <v>323</v>
      </c>
      <c r="C463">
        <v>15</v>
      </c>
      <c r="D463" s="2">
        <v>46023.547222222223</v>
      </c>
      <c r="E463">
        <v>499</v>
      </c>
      <c r="F463" t="s">
        <v>66</v>
      </c>
      <c r="G463" t="s">
        <v>64</v>
      </c>
      <c r="H463">
        <v>8</v>
      </c>
      <c r="I463" t="str">
        <f>IFERROR(VLOOKUP($C463,Merchants!$A$2:$D$41,2,FALSE),"Merchant not found")</f>
        <v>Merchant_015</v>
      </c>
      <c r="J463" t="str">
        <f>IFERROR(VLOOKUP($C463,Merchants!$A$2:$D$41,3,FALSE),"Merchant not found")</f>
        <v>travel</v>
      </c>
      <c r="K463" t="str">
        <f>IFERROR(VLOOKUP($C463,Merchants!$A$2:$D$41,4,FALSE),"Merchant not found")</f>
        <v>North</v>
      </c>
      <c r="L463" s="3">
        <f>IFERROR(HLOOKUP(F463,Fee_Lookup!$B$1:$E$2,2,FALSE),"Method not found")</f>
        <v>5.0000000000000001E-3</v>
      </c>
      <c r="M463" s="6">
        <f t="shared" si="14"/>
        <v>2.4950000000000001</v>
      </c>
      <c r="N463" s="8">
        <f t="shared" si="15"/>
        <v>46023</v>
      </c>
    </row>
    <row r="464" spans="1:14" x14ac:dyDescent="0.4">
      <c r="A464" t="s">
        <v>531</v>
      </c>
      <c r="B464">
        <v>112</v>
      </c>
      <c r="C464">
        <v>33</v>
      </c>
      <c r="D464" s="2">
        <v>46045.166666666664</v>
      </c>
      <c r="E464">
        <v>49</v>
      </c>
      <c r="F464" t="s">
        <v>69</v>
      </c>
      <c r="G464" t="s">
        <v>64</v>
      </c>
      <c r="H464">
        <v>58</v>
      </c>
      <c r="I464" t="str">
        <f>IFERROR(VLOOKUP($C464,Merchants!$A$2:$D$41,2,FALSE),"Merchant not found")</f>
        <v>Merchant_033</v>
      </c>
      <c r="J464" t="str">
        <f>IFERROR(VLOOKUP($C464,Merchants!$A$2:$D$41,3,FALSE),"Merchant not found")</f>
        <v>bill_payment</v>
      </c>
      <c r="K464" t="str">
        <f>IFERROR(VLOOKUP($C464,Merchants!$A$2:$D$41,4,FALSE),"Merchant not found")</f>
        <v>East</v>
      </c>
      <c r="L464" s="3">
        <f>IFERROR(HLOOKUP(F464,Fee_Lookup!$B$1:$E$2,2,FALSE),"Method not found")</f>
        <v>0.01</v>
      </c>
      <c r="M464" s="6">
        <f t="shared" si="14"/>
        <v>0.49</v>
      </c>
      <c r="N464" s="8">
        <f t="shared" si="15"/>
        <v>46045</v>
      </c>
    </row>
    <row r="465" spans="1:14" x14ac:dyDescent="0.4">
      <c r="A465" t="s">
        <v>532</v>
      </c>
      <c r="B465">
        <v>327</v>
      </c>
      <c r="C465">
        <v>40</v>
      </c>
      <c r="D465" s="2">
        <v>46034.068749999999</v>
      </c>
      <c r="E465">
        <v>99</v>
      </c>
      <c r="F465" t="s">
        <v>66</v>
      </c>
      <c r="G465" t="s">
        <v>64</v>
      </c>
      <c r="H465">
        <v>61</v>
      </c>
      <c r="I465" t="str">
        <f>IFERROR(VLOOKUP($C465,Merchants!$A$2:$D$41,2,FALSE),"Merchant not found")</f>
        <v>Merchant_040</v>
      </c>
      <c r="J465" t="str">
        <f>IFERROR(VLOOKUP($C465,Merchants!$A$2:$D$41,3,FALSE),"Merchant not found")</f>
        <v>entertainment</v>
      </c>
      <c r="K465" t="str">
        <f>IFERROR(VLOOKUP($C465,Merchants!$A$2:$D$41,4,FALSE),"Merchant not found")</f>
        <v>South</v>
      </c>
      <c r="L465" s="3">
        <f>IFERROR(HLOOKUP(F465,Fee_Lookup!$B$1:$E$2,2,FALSE),"Method not found")</f>
        <v>5.0000000000000001E-3</v>
      </c>
      <c r="M465" s="6">
        <f t="shared" si="14"/>
        <v>0.495</v>
      </c>
      <c r="N465" s="8">
        <f t="shared" si="15"/>
        <v>46034</v>
      </c>
    </row>
    <row r="466" spans="1:14" x14ac:dyDescent="0.4">
      <c r="A466" t="s">
        <v>533</v>
      </c>
      <c r="B466">
        <v>4</v>
      </c>
      <c r="C466">
        <v>35</v>
      </c>
      <c r="D466" s="2">
        <v>46044.625694444447</v>
      </c>
      <c r="E466">
        <v>299</v>
      </c>
      <c r="F466" t="s">
        <v>66</v>
      </c>
      <c r="G466" t="s">
        <v>64</v>
      </c>
      <c r="H466">
        <v>70</v>
      </c>
      <c r="I466" t="str">
        <f>IFERROR(VLOOKUP($C466,Merchants!$A$2:$D$41,2,FALSE),"Merchant not found")</f>
        <v>Merchant_035</v>
      </c>
      <c r="J466" t="str">
        <f>IFERROR(VLOOKUP($C466,Merchants!$A$2:$D$41,3,FALSE),"Merchant not found")</f>
        <v>recharge</v>
      </c>
      <c r="K466" t="str">
        <f>IFERROR(VLOOKUP($C466,Merchants!$A$2:$D$41,4,FALSE),"Merchant not found")</f>
        <v>East</v>
      </c>
      <c r="L466" s="3">
        <f>IFERROR(HLOOKUP(F466,Fee_Lookup!$B$1:$E$2,2,FALSE),"Method not found")</f>
        <v>5.0000000000000001E-3</v>
      </c>
      <c r="M466" s="6">
        <f t="shared" si="14"/>
        <v>1.4950000000000001</v>
      </c>
      <c r="N466" s="8">
        <f t="shared" si="15"/>
        <v>46044</v>
      </c>
    </row>
    <row r="467" spans="1:14" x14ac:dyDescent="0.4">
      <c r="A467" t="s">
        <v>534</v>
      </c>
      <c r="B467">
        <v>272</v>
      </c>
      <c r="C467">
        <v>18</v>
      </c>
      <c r="D467" s="2">
        <v>46036.000694444447</v>
      </c>
      <c r="E467">
        <v>149</v>
      </c>
      <c r="F467" t="s">
        <v>66</v>
      </c>
      <c r="G467" t="s">
        <v>64</v>
      </c>
      <c r="H467">
        <v>68</v>
      </c>
      <c r="I467" t="str">
        <f>IFERROR(VLOOKUP($C467,Merchants!$A$2:$D$41,2,FALSE),"Merchant not found")</f>
        <v>Merchant_018</v>
      </c>
      <c r="J467" t="str">
        <f>IFERROR(VLOOKUP($C467,Merchants!$A$2:$D$41,3,FALSE),"Merchant not found")</f>
        <v>grocery</v>
      </c>
      <c r="K467" t="str">
        <f>IFERROR(VLOOKUP($C467,Merchants!$A$2:$D$41,4,FALSE),"Merchant not found")</f>
        <v>West</v>
      </c>
      <c r="L467" s="3">
        <f>IFERROR(HLOOKUP(F467,Fee_Lookup!$B$1:$E$2,2,FALSE),"Method not found")</f>
        <v>5.0000000000000001E-3</v>
      </c>
      <c r="M467" s="6">
        <f t="shared" si="14"/>
        <v>0.745</v>
      </c>
      <c r="N467" s="8">
        <f t="shared" si="15"/>
        <v>46036</v>
      </c>
    </row>
    <row r="468" spans="1:14" x14ac:dyDescent="0.4">
      <c r="A468" t="s">
        <v>535</v>
      </c>
      <c r="B468">
        <v>346</v>
      </c>
      <c r="C468">
        <v>28</v>
      </c>
      <c r="D468" s="2">
        <v>46032.022222222222</v>
      </c>
      <c r="E468">
        <v>499</v>
      </c>
      <c r="F468" t="s">
        <v>66</v>
      </c>
      <c r="G468" t="s">
        <v>64</v>
      </c>
      <c r="H468">
        <v>22</v>
      </c>
      <c r="I468" t="str">
        <f>IFERROR(VLOOKUP($C468,Merchants!$A$2:$D$41,2,FALSE),"Merchant not found")</f>
        <v>Merchant_028</v>
      </c>
      <c r="J468" t="str">
        <f>IFERROR(VLOOKUP($C468,Merchants!$A$2:$D$41,3,FALSE),"Merchant not found")</f>
        <v>ecommerce</v>
      </c>
      <c r="K468" t="str">
        <f>IFERROR(VLOOKUP($C468,Merchants!$A$2:$D$41,4,FALSE),"Merchant not found")</f>
        <v>South</v>
      </c>
      <c r="L468" s="3">
        <f>IFERROR(HLOOKUP(F468,Fee_Lookup!$B$1:$E$2,2,FALSE),"Method not found")</f>
        <v>5.0000000000000001E-3</v>
      </c>
      <c r="M468" s="6">
        <f t="shared" si="14"/>
        <v>2.4950000000000001</v>
      </c>
      <c r="N468" s="8">
        <f t="shared" si="15"/>
        <v>46032</v>
      </c>
    </row>
    <row r="469" spans="1:14" x14ac:dyDescent="0.4">
      <c r="A469" t="s">
        <v>536</v>
      </c>
      <c r="B469">
        <v>77</v>
      </c>
      <c r="C469">
        <v>16</v>
      </c>
      <c r="D469" s="2">
        <v>46026.147916666669</v>
      </c>
      <c r="E469">
        <v>49</v>
      </c>
      <c r="F469" t="s">
        <v>63</v>
      </c>
      <c r="G469" t="s">
        <v>64</v>
      </c>
      <c r="H469">
        <v>24</v>
      </c>
      <c r="I469" t="str">
        <f>IFERROR(VLOOKUP($C469,Merchants!$A$2:$D$41,2,FALSE),"Merchant not found")</f>
        <v>Merchant_016</v>
      </c>
      <c r="J469" t="str">
        <f>IFERROR(VLOOKUP($C469,Merchants!$A$2:$D$41,3,FALSE),"Merchant not found")</f>
        <v>bill_payment</v>
      </c>
      <c r="K469" t="str">
        <f>IFERROR(VLOOKUP($C469,Merchants!$A$2:$D$41,4,FALSE),"Merchant not found")</f>
        <v>West</v>
      </c>
      <c r="L469" s="3">
        <f>IFERROR(HLOOKUP(F469,Fee_Lookup!$B$1:$E$2,2,FALSE),"Method not found")</f>
        <v>7.4999999999999997E-3</v>
      </c>
      <c r="M469" s="6">
        <f t="shared" si="14"/>
        <v>0.36749999999999999</v>
      </c>
      <c r="N469" s="8">
        <f t="shared" si="15"/>
        <v>46026</v>
      </c>
    </row>
    <row r="470" spans="1:14" x14ac:dyDescent="0.4">
      <c r="A470" t="s">
        <v>537</v>
      </c>
      <c r="B470">
        <v>182</v>
      </c>
      <c r="C470">
        <v>18</v>
      </c>
      <c r="D470" s="2">
        <v>46042.677777777775</v>
      </c>
      <c r="E470">
        <v>149</v>
      </c>
      <c r="F470" t="s">
        <v>78</v>
      </c>
      <c r="G470" t="s">
        <v>64</v>
      </c>
      <c r="H470">
        <v>50</v>
      </c>
      <c r="I470" t="str">
        <f>IFERROR(VLOOKUP($C470,Merchants!$A$2:$D$41,2,FALSE),"Merchant not found")</f>
        <v>Merchant_018</v>
      </c>
      <c r="J470" t="str">
        <f>IFERROR(VLOOKUP($C470,Merchants!$A$2:$D$41,3,FALSE),"Merchant not found")</f>
        <v>grocery</v>
      </c>
      <c r="K470" t="str">
        <f>IFERROR(VLOOKUP($C470,Merchants!$A$2:$D$41,4,FALSE),"Merchant not found")</f>
        <v>West</v>
      </c>
      <c r="L470" s="3">
        <f>IFERROR(HLOOKUP(F470,Fee_Lookup!$B$1:$E$2,2,FALSE),"Method not found")</f>
        <v>1.2E-2</v>
      </c>
      <c r="M470" s="6">
        <f t="shared" si="14"/>
        <v>1.788</v>
      </c>
      <c r="N470" s="8">
        <f t="shared" si="15"/>
        <v>46042</v>
      </c>
    </row>
    <row r="471" spans="1:14" x14ac:dyDescent="0.4">
      <c r="A471" t="s">
        <v>538</v>
      </c>
      <c r="B471">
        <v>236</v>
      </c>
      <c r="C471">
        <v>37</v>
      </c>
      <c r="D471" s="2">
        <v>46025.475694444445</v>
      </c>
      <c r="E471">
        <v>299</v>
      </c>
      <c r="F471" t="s">
        <v>78</v>
      </c>
      <c r="G471" t="s">
        <v>64</v>
      </c>
      <c r="H471">
        <v>31</v>
      </c>
      <c r="I471" t="str">
        <f>IFERROR(VLOOKUP($C471,Merchants!$A$2:$D$41,2,FALSE),"Merchant not found")</f>
        <v>Merchant_037</v>
      </c>
      <c r="J471" t="str">
        <f>IFERROR(VLOOKUP($C471,Merchants!$A$2:$D$41,3,FALSE),"Merchant not found")</f>
        <v>entertainment</v>
      </c>
      <c r="K471" t="str">
        <f>IFERROR(VLOOKUP($C471,Merchants!$A$2:$D$41,4,FALSE),"Merchant not found")</f>
        <v>South</v>
      </c>
      <c r="L471" s="3">
        <f>IFERROR(HLOOKUP(F471,Fee_Lookup!$B$1:$E$2,2,FALSE),"Method not found")</f>
        <v>1.2E-2</v>
      </c>
      <c r="M471" s="6">
        <f t="shared" si="14"/>
        <v>3.5880000000000001</v>
      </c>
      <c r="N471" s="8">
        <f t="shared" si="15"/>
        <v>46025</v>
      </c>
    </row>
    <row r="472" spans="1:14" x14ac:dyDescent="0.4">
      <c r="A472" t="s">
        <v>539</v>
      </c>
      <c r="B472">
        <v>42</v>
      </c>
      <c r="C472">
        <v>3</v>
      </c>
      <c r="D472" s="2">
        <v>46045.304861111108</v>
      </c>
      <c r="E472">
        <v>49</v>
      </c>
      <c r="F472" t="s">
        <v>66</v>
      </c>
      <c r="G472" t="s">
        <v>64</v>
      </c>
      <c r="H472">
        <v>11</v>
      </c>
      <c r="I472" t="str">
        <f>IFERROR(VLOOKUP($C472,Merchants!$A$2:$D$41,2,FALSE),"Merchant not found")</f>
        <v>Merchant_003</v>
      </c>
      <c r="J472" t="str">
        <f>IFERROR(VLOOKUP($C472,Merchants!$A$2:$D$41,3,FALSE),"Merchant not found")</f>
        <v>grocery</v>
      </c>
      <c r="K472" t="str">
        <f>IFERROR(VLOOKUP($C472,Merchants!$A$2:$D$41,4,FALSE),"Merchant not found")</f>
        <v>East</v>
      </c>
      <c r="L472" s="3">
        <f>IFERROR(HLOOKUP(F472,Fee_Lookup!$B$1:$E$2,2,FALSE),"Method not found")</f>
        <v>5.0000000000000001E-3</v>
      </c>
      <c r="M472" s="6">
        <f t="shared" si="14"/>
        <v>0.245</v>
      </c>
      <c r="N472" s="8">
        <f t="shared" si="15"/>
        <v>46045</v>
      </c>
    </row>
    <row r="473" spans="1:14" x14ac:dyDescent="0.4">
      <c r="A473" t="s">
        <v>540</v>
      </c>
      <c r="B473">
        <v>283</v>
      </c>
      <c r="C473">
        <v>31</v>
      </c>
      <c r="D473" s="2">
        <v>46035.51666666667</v>
      </c>
      <c r="E473">
        <v>299</v>
      </c>
      <c r="F473" t="s">
        <v>69</v>
      </c>
      <c r="G473" t="s">
        <v>64</v>
      </c>
      <c r="H473">
        <v>7</v>
      </c>
      <c r="I473" t="str">
        <f>IFERROR(VLOOKUP($C473,Merchants!$A$2:$D$41,2,FALSE),"Merchant not found")</f>
        <v>Merchant_031</v>
      </c>
      <c r="J473" t="str">
        <f>IFERROR(VLOOKUP($C473,Merchants!$A$2:$D$41,3,FALSE),"Merchant not found")</f>
        <v>bill_payment</v>
      </c>
      <c r="K473" t="str">
        <f>IFERROR(VLOOKUP($C473,Merchants!$A$2:$D$41,4,FALSE),"Merchant not found")</f>
        <v>East</v>
      </c>
      <c r="L473" s="3">
        <f>IFERROR(HLOOKUP(F473,Fee_Lookup!$B$1:$E$2,2,FALSE),"Method not found")</f>
        <v>0.01</v>
      </c>
      <c r="M473" s="6">
        <f t="shared" si="14"/>
        <v>2.99</v>
      </c>
      <c r="N473" s="8">
        <f t="shared" si="15"/>
        <v>46035</v>
      </c>
    </row>
    <row r="474" spans="1:14" x14ac:dyDescent="0.4">
      <c r="A474" t="s">
        <v>541</v>
      </c>
      <c r="B474">
        <v>88</v>
      </c>
      <c r="C474">
        <v>6</v>
      </c>
      <c r="D474" s="2">
        <v>46043.030555555553</v>
      </c>
      <c r="E474">
        <v>49</v>
      </c>
      <c r="F474" t="s">
        <v>66</v>
      </c>
      <c r="G474" t="s">
        <v>64</v>
      </c>
      <c r="H474">
        <v>63</v>
      </c>
      <c r="I474" t="str">
        <f>IFERROR(VLOOKUP($C474,Merchants!$A$2:$D$41,2,FALSE),"Merchant not found")</f>
        <v>Merchant_006</v>
      </c>
      <c r="J474" t="str">
        <f>IFERROR(VLOOKUP($C474,Merchants!$A$2:$D$41,3,FALSE),"Merchant not found")</f>
        <v>food_delivery</v>
      </c>
      <c r="K474" t="str">
        <f>IFERROR(VLOOKUP($C474,Merchants!$A$2:$D$41,4,FALSE),"Merchant not found")</f>
        <v>South</v>
      </c>
      <c r="L474" s="3">
        <f>IFERROR(HLOOKUP(F474,Fee_Lookup!$B$1:$E$2,2,FALSE),"Method not found")</f>
        <v>5.0000000000000001E-3</v>
      </c>
      <c r="M474" s="6">
        <f t="shared" si="14"/>
        <v>0.245</v>
      </c>
      <c r="N474" s="8">
        <f t="shared" si="15"/>
        <v>46043</v>
      </c>
    </row>
    <row r="475" spans="1:14" x14ac:dyDescent="0.4">
      <c r="A475" t="s">
        <v>542</v>
      </c>
      <c r="B475">
        <v>170</v>
      </c>
      <c r="C475">
        <v>37</v>
      </c>
      <c r="D475" s="2">
        <v>46050.570138888892</v>
      </c>
      <c r="E475">
        <v>99</v>
      </c>
      <c r="F475" t="s">
        <v>66</v>
      </c>
      <c r="G475" t="s">
        <v>79</v>
      </c>
      <c r="H475">
        <v>12</v>
      </c>
      <c r="I475" t="str">
        <f>IFERROR(VLOOKUP($C475,Merchants!$A$2:$D$41,2,FALSE),"Merchant not found")</f>
        <v>Merchant_037</v>
      </c>
      <c r="J475" t="str">
        <f>IFERROR(VLOOKUP($C475,Merchants!$A$2:$D$41,3,FALSE),"Merchant not found")</f>
        <v>entertainment</v>
      </c>
      <c r="K475" t="str">
        <f>IFERROR(VLOOKUP($C475,Merchants!$A$2:$D$41,4,FALSE),"Merchant not found")</f>
        <v>South</v>
      </c>
      <c r="L475" s="3">
        <f>IFERROR(HLOOKUP(F475,Fee_Lookup!$B$1:$E$2,2,FALSE),"Method not found")</f>
        <v>5.0000000000000001E-3</v>
      </c>
      <c r="M475" s="6">
        <f t="shared" si="14"/>
        <v>0.495</v>
      </c>
      <c r="N475" s="8">
        <f t="shared" si="15"/>
        <v>46050</v>
      </c>
    </row>
    <row r="476" spans="1:14" x14ac:dyDescent="0.4">
      <c r="A476" t="s">
        <v>543</v>
      </c>
      <c r="B476">
        <v>22</v>
      </c>
      <c r="C476">
        <v>15</v>
      </c>
      <c r="D476" s="2">
        <v>46051.706944444442</v>
      </c>
      <c r="E476">
        <v>49</v>
      </c>
      <c r="F476" t="s">
        <v>69</v>
      </c>
      <c r="G476" t="s">
        <v>64</v>
      </c>
      <c r="H476">
        <v>27</v>
      </c>
      <c r="I476" t="str">
        <f>IFERROR(VLOOKUP($C476,Merchants!$A$2:$D$41,2,FALSE),"Merchant not found")</f>
        <v>Merchant_015</v>
      </c>
      <c r="J476" t="str">
        <f>IFERROR(VLOOKUP($C476,Merchants!$A$2:$D$41,3,FALSE),"Merchant not found")</f>
        <v>travel</v>
      </c>
      <c r="K476" t="str">
        <f>IFERROR(VLOOKUP($C476,Merchants!$A$2:$D$41,4,FALSE),"Merchant not found")</f>
        <v>North</v>
      </c>
      <c r="L476" s="3">
        <f>IFERROR(HLOOKUP(F476,Fee_Lookup!$B$1:$E$2,2,FALSE),"Method not found")</f>
        <v>0.01</v>
      </c>
      <c r="M476" s="6">
        <f t="shared" si="14"/>
        <v>0.49</v>
      </c>
      <c r="N476" s="8">
        <f t="shared" si="15"/>
        <v>46051</v>
      </c>
    </row>
    <row r="477" spans="1:14" x14ac:dyDescent="0.4">
      <c r="A477" t="s">
        <v>544</v>
      </c>
      <c r="B477">
        <v>291</v>
      </c>
      <c r="C477">
        <v>31</v>
      </c>
      <c r="D477" s="2">
        <v>46051.955555555556</v>
      </c>
      <c r="E477">
        <v>49</v>
      </c>
      <c r="F477" t="s">
        <v>69</v>
      </c>
      <c r="G477" t="s">
        <v>79</v>
      </c>
      <c r="H477">
        <v>34</v>
      </c>
      <c r="I477" t="str">
        <f>IFERROR(VLOOKUP($C477,Merchants!$A$2:$D$41,2,FALSE),"Merchant not found")</f>
        <v>Merchant_031</v>
      </c>
      <c r="J477" t="str">
        <f>IFERROR(VLOOKUP($C477,Merchants!$A$2:$D$41,3,FALSE),"Merchant not found")</f>
        <v>bill_payment</v>
      </c>
      <c r="K477" t="str">
        <f>IFERROR(VLOOKUP($C477,Merchants!$A$2:$D$41,4,FALSE),"Merchant not found")</f>
        <v>East</v>
      </c>
      <c r="L477" s="3">
        <f>IFERROR(HLOOKUP(F477,Fee_Lookup!$B$1:$E$2,2,FALSE),"Method not found")</f>
        <v>0.01</v>
      </c>
      <c r="M477" s="6">
        <f t="shared" si="14"/>
        <v>0.49</v>
      </c>
      <c r="N477" s="8">
        <f t="shared" si="15"/>
        <v>46051</v>
      </c>
    </row>
    <row r="478" spans="1:14" x14ac:dyDescent="0.4">
      <c r="A478" t="s">
        <v>545</v>
      </c>
      <c r="B478">
        <v>144</v>
      </c>
      <c r="C478">
        <v>35</v>
      </c>
      <c r="D478" s="2">
        <v>46024.113194444442</v>
      </c>
      <c r="E478">
        <v>1499</v>
      </c>
      <c r="F478" t="s">
        <v>66</v>
      </c>
      <c r="G478" t="s">
        <v>64</v>
      </c>
      <c r="H478">
        <v>72</v>
      </c>
      <c r="I478" t="str">
        <f>IFERROR(VLOOKUP($C478,Merchants!$A$2:$D$41,2,FALSE),"Merchant not found")</f>
        <v>Merchant_035</v>
      </c>
      <c r="J478" t="str">
        <f>IFERROR(VLOOKUP($C478,Merchants!$A$2:$D$41,3,FALSE),"Merchant not found")</f>
        <v>recharge</v>
      </c>
      <c r="K478" t="str">
        <f>IFERROR(VLOOKUP($C478,Merchants!$A$2:$D$41,4,FALSE),"Merchant not found")</f>
        <v>East</v>
      </c>
      <c r="L478" s="3">
        <f>IFERROR(HLOOKUP(F478,Fee_Lookup!$B$1:$E$2,2,FALSE),"Method not found")</f>
        <v>5.0000000000000001E-3</v>
      </c>
      <c r="M478" s="6">
        <f t="shared" si="14"/>
        <v>7.4950000000000001</v>
      </c>
      <c r="N478" s="8">
        <f t="shared" si="15"/>
        <v>46024</v>
      </c>
    </row>
    <row r="479" spans="1:14" x14ac:dyDescent="0.4">
      <c r="A479" t="s">
        <v>546</v>
      </c>
      <c r="B479">
        <v>162</v>
      </c>
      <c r="C479">
        <v>2</v>
      </c>
      <c r="D479" s="2">
        <v>46044.049305555556</v>
      </c>
      <c r="E479">
        <v>299</v>
      </c>
      <c r="F479" t="s">
        <v>63</v>
      </c>
      <c r="G479" t="s">
        <v>64</v>
      </c>
      <c r="H479">
        <v>26</v>
      </c>
      <c r="I479" t="str">
        <f>IFERROR(VLOOKUP($C479,Merchants!$A$2:$D$41,2,FALSE),"Merchant not found")</f>
        <v>Merchant_002</v>
      </c>
      <c r="J479" t="str">
        <f>IFERROR(VLOOKUP($C479,Merchants!$A$2:$D$41,3,FALSE),"Merchant not found")</f>
        <v>grocery</v>
      </c>
      <c r="K479" t="str">
        <f>IFERROR(VLOOKUP($C479,Merchants!$A$2:$D$41,4,FALSE),"Merchant not found")</f>
        <v>West</v>
      </c>
      <c r="L479" s="3">
        <f>IFERROR(HLOOKUP(F479,Fee_Lookup!$B$1:$E$2,2,FALSE),"Method not found")</f>
        <v>7.4999999999999997E-3</v>
      </c>
      <c r="M479" s="6">
        <f t="shared" si="14"/>
        <v>2.2424999999999997</v>
      </c>
      <c r="N479" s="8">
        <f t="shared" si="15"/>
        <v>46044</v>
      </c>
    </row>
    <row r="480" spans="1:14" x14ac:dyDescent="0.4">
      <c r="A480" t="s">
        <v>547</v>
      </c>
      <c r="B480">
        <v>204</v>
      </c>
      <c r="C480">
        <v>5</v>
      </c>
      <c r="D480" s="2">
        <v>46041.2</v>
      </c>
      <c r="E480">
        <v>49</v>
      </c>
      <c r="F480" t="s">
        <v>66</v>
      </c>
      <c r="G480" t="s">
        <v>64</v>
      </c>
      <c r="H480">
        <v>38</v>
      </c>
      <c r="I480" t="str">
        <f>IFERROR(VLOOKUP($C480,Merchants!$A$2:$D$41,2,FALSE),"Merchant not found")</f>
        <v>Merchant_005</v>
      </c>
      <c r="J480" t="str">
        <f>IFERROR(VLOOKUP($C480,Merchants!$A$2:$D$41,3,FALSE),"Merchant not found")</f>
        <v>recharge</v>
      </c>
      <c r="K480" t="str">
        <f>IFERROR(VLOOKUP($C480,Merchants!$A$2:$D$41,4,FALSE),"Merchant not found")</f>
        <v>South</v>
      </c>
      <c r="L480" s="3">
        <f>IFERROR(HLOOKUP(F480,Fee_Lookup!$B$1:$E$2,2,FALSE),"Method not found")</f>
        <v>5.0000000000000001E-3</v>
      </c>
      <c r="M480" s="6">
        <f t="shared" si="14"/>
        <v>0.245</v>
      </c>
      <c r="N480" s="8">
        <f t="shared" si="15"/>
        <v>46041</v>
      </c>
    </row>
    <row r="481" spans="1:14" x14ac:dyDescent="0.4">
      <c r="A481" t="s">
        <v>548</v>
      </c>
      <c r="B481">
        <v>291</v>
      </c>
      <c r="C481">
        <v>25</v>
      </c>
      <c r="D481" s="2">
        <v>46028.760416666664</v>
      </c>
      <c r="E481">
        <v>99</v>
      </c>
      <c r="F481" t="s">
        <v>63</v>
      </c>
      <c r="G481" t="s">
        <v>64</v>
      </c>
      <c r="H481">
        <v>86</v>
      </c>
      <c r="I481" t="str">
        <f>IFERROR(VLOOKUP($C481,Merchants!$A$2:$D$41,2,FALSE),"Merchant not found")</f>
        <v>Merchant_025</v>
      </c>
      <c r="J481" t="str">
        <f>IFERROR(VLOOKUP($C481,Merchants!$A$2:$D$41,3,FALSE),"Merchant not found")</f>
        <v>travel</v>
      </c>
      <c r="K481" t="str">
        <f>IFERROR(VLOOKUP($C481,Merchants!$A$2:$D$41,4,FALSE),"Merchant not found")</f>
        <v>South</v>
      </c>
      <c r="L481" s="3">
        <f>IFERROR(HLOOKUP(F481,Fee_Lookup!$B$1:$E$2,2,FALSE),"Method not found")</f>
        <v>7.4999999999999997E-3</v>
      </c>
      <c r="M481" s="6">
        <f t="shared" si="14"/>
        <v>0.74249999999999994</v>
      </c>
      <c r="N481" s="8">
        <f t="shared" si="15"/>
        <v>46028</v>
      </c>
    </row>
    <row r="482" spans="1:14" x14ac:dyDescent="0.4">
      <c r="A482" t="s">
        <v>549</v>
      </c>
      <c r="B482">
        <v>197</v>
      </c>
      <c r="C482">
        <v>9</v>
      </c>
      <c r="D482" s="2">
        <v>46051.722916666666</v>
      </c>
      <c r="E482">
        <v>49</v>
      </c>
      <c r="F482" t="s">
        <v>63</v>
      </c>
      <c r="G482" t="s">
        <v>79</v>
      </c>
      <c r="H482">
        <v>88</v>
      </c>
      <c r="I482" t="str">
        <f>IFERROR(VLOOKUP($C482,Merchants!$A$2:$D$41,2,FALSE),"Merchant not found")</f>
        <v>Merchant_009</v>
      </c>
      <c r="J482" t="str">
        <f>IFERROR(VLOOKUP($C482,Merchants!$A$2:$D$41,3,FALSE),"Merchant not found")</f>
        <v>ecommerce</v>
      </c>
      <c r="K482" t="str">
        <f>IFERROR(VLOOKUP($C482,Merchants!$A$2:$D$41,4,FALSE),"Merchant not found")</f>
        <v>North</v>
      </c>
      <c r="L482" s="3">
        <f>IFERROR(HLOOKUP(F482,Fee_Lookup!$B$1:$E$2,2,FALSE),"Method not found")</f>
        <v>7.4999999999999997E-3</v>
      </c>
      <c r="M482" s="6">
        <f t="shared" si="14"/>
        <v>0.36749999999999999</v>
      </c>
      <c r="N482" s="8">
        <f t="shared" si="15"/>
        <v>46051</v>
      </c>
    </row>
    <row r="483" spans="1:14" x14ac:dyDescent="0.4">
      <c r="A483" t="s">
        <v>550</v>
      </c>
      <c r="B483">
        <v>178</v>
      </c>
      <c r="C483">
        <v>4</v>
      </c>
      <c r="D483" s="2">
        <v>46046.105555555558</v>
      </c>
      <c r="E483">
        <v>1499</v>
      </c>
      <c r="F483" t="s">
        <v>66</v>
      </c>
      <c r="G483" t="s">
        <v>64</v>
      </c>
      <c r="H483">
        <v>12</v>
      </c>
      <c r="I483" t="str">
        <f>IFERROR(VLOOKUP($C483,Merchants!$A$2:$D$41,2,FALSE),"Merchant not found")</f>
        <v>Merchant_004</v>
      </c>
      <c r="J483" t="str">
        <f>IFERROR(VLOOKUP($C483,Merchants!$A$2:$D$41,3,FALSE),"Merchant not found")</f>
        <v>ecommerce</v>
      </c>
      <c r="K483" t="str">
        <f>IFERROR(VLOOKUP($C483,Merchants!$A$2:$D$41,4,FALSE),"Merchant not found")</f>
        <v>East</v>
      </c>
      <c r="L483" s="3">
        <f>IFERROR(HLOOKUP(F483,Fee_Lookup!$B$1:$E$2,2,FALSE),"Method not found")</f>
        <v>5.0000000000000001E-3</v>
      </c>
      <c r="M483" s="6">
        <f t="shared" si="14"/>
        <v>7.4950000000000001</v>
      </c>
      <c r="N483" s="8">
        <f t="shared" si="15"/>
        <v>46046</v>
      </c>
    </row>
    <row r="484" spans="1:14" x14ac:dyDescent="0.4">
      <c r="A484" t="s">
        <v>551</v>
      </c>
      <c r="B484">
        <v>39</v>
      </c>
      <c r="C484">
        <v>22</v>
      </c>
      <c r="D484" s="2">
        <v>46036.328472222223</v>
      </c>
      <c r="E484">
        <v>799</v>
      </c>
      <c r="F484" t="s">
        <v>69</v>
      </c>
      <c r="G484" t="s">
        <v>64</v>
      </c>
      <c r="H484">
        <v>77</v>
      </c>
      <c r="I484" t="str">
        <f>IFERROR(VLOOKUP($C484,Merchants!$A$2:$D$41,2,FALSE),"Merchant not found")</f>
        <v>Merchant_022</v>
      </c>
      <c r="J484" t="str">
        <f>IFERROR(VLOOKUP($C484,Merchants!$A$2:$D$41,3,FALSE),"Merchant not found")</f>
        <v>travel</v>
      </c>
      <c r="K484" t="str">
        <f>IFERROR(VLOOKUP($C484,Merchants!$A$2:$D$41,4,FALSE),"Merchant not found")</f>
        <v>South</v>
      </c>
      <c r="L484" s="3">
        <f>IFERROR(HLOOKUP(F484,Fee_Lookup!$B$1:$E$2,2,FALSE),"Method not found")</f>
        <v>0.01</v>
      </c>
      <c r="M484" s="6">
        <f t="shared" si="14"/>
        <v>7.99</v>
      </c>
      <c r="N484" s="8">
        <f t="shared" si="15"/>
        <v>46036</v>
      </c>
    </row>
    <row r="485" spans="1:14" x14ac:dyDescent="0.4">
      <c r="A485" t="s">
        <v>552</v>
      </c>
      <c r="B485">
        <v>204</v>
      </c>
      <c r="C485">
        <v>21</v>
      </c>
      <c r="D485" s="2">
        <v>46047.818055555559</v>
      </c>
      <c r="E485">
        <v>299</v>
      </c>
      <c r="F485" t="s">
        <v>63</v>
      </c>
      <c r="G485" t="s">
        <v>64</v>
      </c>
      <c r="H485">
        <v>3</v>
      </c>
      <c r="I485" t="str">
        <f>IFERROR(VLOOKUP($C485,Merchants!$A$2:$D$41,2,FALSE),"Merchant not found")</f>
        <v>Merchant_021</v>
      </c>
      <c r="J485" t="str">
        <f>IFERROR(VLOOKUP($C485,Merchants!$A$2:$D$41,3,FALSE),"Merchant not found")</f>
        <v>food_delivery</v>
      </c>
      <c r="K485" t="str">
        <f>IFERROR(VLOOKUP($C485,Merchants!$A$2:$D$41,4,FALSE),"Merchant not found")</f>
        <v>East</v>
      </c>
      <c r="L485" s="3">
        <f>IFERROR(HLOOKUP(F485,Fee_Lookup!$B$1:$E$2,2,FALSE),"Method not found")</f>
        <v>7.4999999999999997E-3</v>
      </c>
      <c r="M485" s="6">
        <f t="shared" si="14"/>
        <v>2.2424999999999997</v>
      </c>
      <c r="N485" s="8">
        <f t="shared" si="15"/>
        <v>46047</v>
      </c>
    </row>
    <row r="486" spans="1:14" x14ac:dyDescent="0.4">
      <c r="A486" t="s">
        <v>553</v>
      </c>
      <c r="B486">
        <v>231</v>
      </c>
      <c r="C486">
        <v>32</v>
      </c>
      <c r="D486" s="2">
        <v>46043.368055555555</v>
      </c>
      <c r="E486">
        <v>299</v>
      </c>
      <c r="F486" t="s">
        <v>66</v>
      </c>
      <c r="G486" t="s">
        <v>64</v>
      </c>
      <c r="H486">
        <v>29</v>
      </c>
      <c r="I486" t="str">
        <f>IFERROR(VLOOKUP($C486,Merchants!$A$2:$D$41,2,FALSE),"Merchant not found")</f>
        <v>Merchant_032</v>
      </c>
      <c r="J486" t="str">
        <f>IFERROR(VLOOKUP($C486,Merchants!$A$2:$D$41,3,FALSE),"Merchant not found")</f>
        <v>food_delivery</v>
      </c>
      <c r="K486" t="str">
        <f>IFERROR(VLOOKUP($C486,Merchants!$A$2:$D$41,4,FALSE),"Merchant not found")</f>
        <v>West</v>
      </c>
      <c r="L486" s="3">
        <f>IFERROR(HLOOKUP(F486,Fee_Lookup!$B$1:$E$2,2,FALSE),"Method not found")</f>
        <v>5.0000000000000001E-3</v>
      </c>
      <c r="M486" s="6">
        <f t="shared" si="14"/>
        <v>1.4950000000000001</v>
      </c>
      <c r="N486" s="8">
        <f t="shared" si="15"/>
        <v>46043</v>
      </c>
    </row>
    <row r="487" spans="1:14" x14ac:dyDescent="0.4">
      <c r="A487" t="s">
        <v>554</v>
      </c>
      <c r="B487">
        <v>222</v>
      </c>
      <c r="C487">
        <v>12</v>
      </c>
      <c r="D487" s="2">
        <v>46034.724999999999</v>
      </c>
      <c r="E487">
        <v>499</v>
      </c>
      <c r="F487" t="s">
        <v>63</v>
      </c>
      <c r="G487" t="s">
        <v>79</v>
      </c>
      <c r="H487">
        <v>87</v>
      </c>
      <c r="I487" t="str">
        <f>IFERROR(VLOOKUP($C487,Merchants!$A$2:$D$41,2,FALSE),"Merchant not found")</f>
        <v>Merchant_012</v>
      </c>
      <c r="J487" t="str">
        <f>IFERROR(VLOOKUP($C487,Merchants!$A$2:$D$41,3,FALSE),"Merchant not found")</f>
        <v>ecommerce</v>
      </c>
      <c r="K487" t="str">
        <f>IFERROR(VLOOKUP($C487,Merchants!$A$2:$D$41,4,FALSE),"Merchant not found")</f>
        <v>East</v>
      </c>
      <c r="L487" s="3">
        <f>IFERROR(HLOOKUP(F487,Fee_Lookup!$B$1:$E$2,2,FALSE),"Method not found")</f>
        <v>7.4999999999999997E-3</v>
      </c>
      <c r="M487" s="6">
        <f t="shared" si="14"/>
        <v>3.7424999999999997</v>
      </c>
      <c r="N487" s="8">
        <f t="shared" si="15"/>
        <v>46034</v>
      </c>
    </row>
    <row r="488" spans="1:14" x14ac:dyDescent="0.4">
      <c r="A488" t="s">
        <v>555</v>
      </c>
      <c r="B488">
        <v>44</v>
      </c>
      <c r="C488">
        <v>40</v>
      </c>
      <c r="D488" s="2">
        <v>46041.89166666667</v>
      </c>
      <c r="E488">
        <v>499</v>
      </c>
      <c r="F488" t="s">
        <v>66</v>
      </c>
      <c r="G488" t="s">
        <v>64</v>
      </c>
      <c r="H488">
        <v>37</v>
      </c>
      <c r="I488" t="str">
        <f>IFERROR(VLOOKUP($C488,Merchants!$A$2:$D$41,2,FALSE),"Merchant not found")</f>
        <v>Merchant_040</v>
      </c>
      <c r="J488" t="str">
        <f>IFERROR(VLOOKUP($C488,Merchants!$A$2:$D$41,3,FALSE),"Merchant not found")</f>
        <v>entertainment</v>
      </c>
      <c r="K488" t="str">
        <f>IFERROR(VLOOKUP($C488,Merchants!$A$2:$D$41,4,FALSE),"Merchant not found")</f>
        <v>South</v>
      </c>
      <c r="L488" s="3">
        <f>IFERROR(HLOOKUP(F488,Fee_Lookup!$B$1:$E$2,2,FALSE),"Method not found")</f>
        <v>5.0000000000000001E-3</v>
      </c>
      <c r="M488" s="6">
        <f t="shared" si="14"/>
        <v>2.4950000000000001</v>
      </c>
      <c r="N488" s="8">
        <f t="shared" si="15"/>
        <v>46041</v>
      </c>
    </row>
    <row r="489" spans="1:14" x14ac:dyDescent="0.4">
      <c r="A489" t="s">
        <v>556</v>
      </c>
      <c r="B489">
        <v>38</v>
      </c>
      <c r="C489">
        <v>6</v>
      </c>
      <c r="D489" s="2">
        <v>46048.322916666664</v>
      </c>
      <c r="E489">
        <v>49</v>
      </c>
      <c r="F489" t="s">
        <v>63</v>
      </c>
      <c r="G489" t="s">
        <v>64</v>
      </c>
      <c r="H489">
        <v>34</v>
      </c>
      <c r="I489" t="str">
        <f>IFERROR(VLOOKUP($C489,Merchants!$A$2:$D$41,2,FALSE),"Merchant not found")</f>
        <v>Merchant_006</v>
      </c>
      <c r="J489" t="str">
        <f>IFERROR(VLOOKUP($C489,Merchants!$A$2:$D$41,3,FALSE),"Merchant not found")</f>
        <v>food_delivery</v>
      </c>
      <c r="K489" t="str">
        <f>IFERROR(VLOOKUP($C489,Merchants!$A$2:$D$41,4,FALSE),"Merchant not found")</f>
        <v>South</v>
      </c>
      <c r="L489" s="3">
        <f>IFERROR(HLOOKUP(F489,Fee_Lookup!$B$1:$E$2,2,FALSE),"Method not found")</f>
        <v>7.4999999999999997E-3</v>
      </c>
      <c r="M489" s="6">
        <f t="shared" si="14"/>
        <v>0.36749999999999999</v>
      </c>
      <c r="N489" s="8">
        <f t="shared" si="15"/>
        <v>46048</v>
      </c>
    </row>
    <row r="490" spans="1:14" x14ac:dyDescent="0.4">
      <c r="A490" t="s">
        <v>557</v>
      </c>
      <c r="B490">
        <v>325</v>
      </c>
      <c r="C490">
        <v>10</v>
      </c>
      <c r="D490" s="2">
        <v>46027.53125</v>
      </c>
      <c r="E490">
        <v>49</v>
      </c>
      <c r="F490" t="s">
        <v>69</v>
      </c>
      <c r="G490" t="s">
        <v>92</v>
      </c>
      <c r="H490">
        <v>94</v>
      </c>
      <c r="I490" t="str">
        <f>IFERROR(VLOOKUP($C490,Merchants!$A$2:$D$41,2,FALSE),"Merchant not found")</f>
        <v>Merchant_010</v>
      </c>
      <c r="J490" t="str">
        <f>IFERROR(VLOOKUP($C490,Merchants!$A$2:$D$41,3,FALSE),"Merchant not found")</f>
        <v>grocery</v>
      </c>
      <c r="K490" t="str">
        <f>IFERROR(VLOOKUP($C490,Merchants!$A$2:$D$41,4,FALSE),"Merchant not found")</f>
        <v>West</v>
      </c>
      <c r="L490" s="3">
        <f>IFERROR(HLOOKUP(F490,Fee_Lookup!$B$1:$E$2,2,FALSE),"Method not found")</f>
        <v>0.01</v>
      </c>
      <c r="M490" s="6">
        <f t="shared" si="14"/>
        <v>0.49</v>
      </c>
      <c r="N490" s="8">
        <f t="shared" si="15"/>
        <v>46027</v>
      </c>
    </row>
    <row r="491" spans="1:14" x14ac:dyDescent="0.4">
      <c r="A491" t="s">
        <v>558</v>
      </c>
      <c r="B491">
        <v>55</v>
      </c>
      <c r="C491">
        <v>6</v>
      </c>
      <c r="D491" s="2">
        <v>46035.432638888888</v>
      </c>
      <c r="E491">
        <v>1499</v>
      </c>
      <c r="F491" t="s">
        <v>78</v>
      </c>
      <c r="G491" t="s">
        <v>64</v>
      </c>
      <c r="H491">
        <v>0</v>
      </c>
      <c r="I491" t="str">
        <f>IFERROR(VLOOKUP($C491,Merchants!$A$2:$D$41,2,FALSE),"Merchant not found")</f>
        <v>Merchant_006</v>
      </c>
      <c r="J491" t="str">
        <f>IFERROR(VLOOKUP($C491,Merchants!$A$2:$D$41,3,FALSE),"Merchant not found")</f>
        <v>food_delivery</v>
      </c>
      <c r="K491" t="str">
        <f>IFERROR(VLOOKUP($C491,Merchants!$A$2:$D$41,4,FALSE),"Merchant not found")</f>
        <v>South</v>
      </c>
      <c r="L491" s="3">
        <f>IFERROR(HLOOKUP(F491,Fee_Lookup!$B$1:$E$2,2,FALSE),"Method not found")</f>
        <v>1.2E-2</v>
      </c>
      <c r="M491" s="6">
        <f t="shared" si="14"/>
        <v>17.988</v>
      </c>
      <c r="N491" s="8">
        <f t="shared" si="15"/>
        <v>46035</v>
      </c>
    </row>
    <row r="492" spans="1:14" x14ac:dyDescent="0.4">
      <c r="A492" t="s">
        <v>559</v>
      </c>
      <c r="B492">
        <v>139</v>
      </c>
      <c r="C492">
        <v>7</v>
      </c>
      <c r="D492" s="2">
        <v>46032.599305555559</v>
      </c>
      <c r="E492">
        <v>499</v>
      </c>
      <c r="F492" t="s">
        <v>78</v>
      </c>
      <c r="G492" t="s">
        <v>64</v>
      </c>
      <c r="H492">
        <v>16</v>
      </c>
      <c r="I492" t="str">
        <f>IFERROR(VLOOKUP($C492,Merchants!$A$2:$D$41,2,FALSE),"Merchant not found")</f>
        <v>Merchant_007</v>
      </c>
      <c r="J492" t="str">
        <f>IFERROR(VLOOKUP($C492,Merchants!$A$2:$D$41,3,FALSE),"Merchant not found")</f>
        <v>food_delivery</v>
      </c>
      <c r="K492" t="str">
        <f>IFERROR(VLOOKUP($C492,Merchants!$A$2:$D$41,4,FALSE),"Merchant not found")</f>
        <v>East</v>
      </c>
      <c r="L492" s="3">
        <f>IFERROR(HLOOKUP(F492,Fee_Lookup!$B$1:$E$2,2,FALSE),"Method not found")</f>
        <v>1.2E-2</v>
      </c>
      <c r="M492" s="6">
        <f t="shared" si="14"/>
        <v>5.9880000000000004</v>
      </c>
      <c r="N492" s="8">
        <f t="shared" si="15"/>
        <v>46032</v>
      </c>
    </row>
    <row r="493" spans="1:14" x14ac:dyDescent="0.4">
      <c r="A493" t="s">
        <v>560</v>
      </c>
      <c r="B493">
        <v>230</v>
      </c>
      <c r="C493">
        <v>36</v>
      </c>
      <c r="D493" s="2">
        <v>46025.227083333331</v>
      </c>
      <c r="E493">
        <v>99</v>
      </c>
      <c r="F493" t="s">
        <v>63</v>
      </c>
      <c r="G493" t="s">
        <v>64</v>
      </c>
      <c r="H493">
        <v>71</v>
      </c>
      <c r="I493" t="str">
        <f>IFERROR(VLOOKUP($C493,Merchants!$A$2:$D$41,2,FALSE),"Merchant not found")</f>
        <v>Merchant_036</v>
      </c>
      <c r="J493" t="str">
        <f>IFERROR(VLOOKUP($C493,Merchants!$A$2:$D$41,3,FALSE),"Merchant not found")</f>
        <v>entertainment</v>
      </c>
      <c r="K493" t="str">
        <f>IFERROR(VLOOKUP($C493,Merchants!$A$2:$D$41,4,FALSE),"Merchant not found")</f>
        <v>East</v>
      </c>
      <c r="L493" s="3">
        <f>IFERROR(HLOOKUP(F493,Fee_Lookup!$B$1:$E$2,2,FALSE),"Method not found")</f>
        <v>7.4999999999999997E-3</v>
      </c>
      <c r="M493" s="6">
        <f t="shared" si="14"/>
        <v>0.74249999999999994</v>
      </c>
      <c r="N493" s="8">
        <f t="shared" si="15"/>
        <v>46025</v>
      </c>
    </row>
    <row r="494" spans="1:14" x14ac:dyDescent="0.4">
      <c r="A494" t="s">
        <v>561</v>
      </c>
      <c r="B494">
        <v>14</v>
      </c>
      <c r="C494">
        <v>6</v>
      </c>
      <c r="D494" s="2">
        <v>46039.54583333333</v>
      </c>
      <c r="E494">
        <v>799</v>
      </c>
      <c r="F494" t="s">
        <v>78</v>
      </c>
      <c r="G494" t="s">
        <v>64</v>
      </c>
      <c r="H494">
        <v>45</v>
      </c>
      <c r="I494" t="str">
        <f>IFERROR(VLOOKUP($C494,Merchants!$A$2:$D$41,2,FALSE),"Merchant not found")</f>
        <v>Merchant_006</v>
      </c>
      <c r="J494" t="str">
        <f>IFERROR(VLOOKUP($C494,Merchants!$A$2:$D$41,3,FALSE),"Merchant not found")</f>
        <v>food_delivery</v>
      </c>
      <c r="K494" t="str">
        <f>IFERROR(VLOOKUP($C494,Merchants!$A$2:$D$41,4,FALSE),"Merchant not found")</f>
        <v>South</v>
      </c>
      <c r="L494" s="3">
        <f>IFERROR(HLOOKUP(F494,Fee_Lookup!$B$1:$E$2,2,FALSE),"Method not found")</f>
        <v>1.2E-2</v>
      </c>
      <c r="M494" s="6">
        <f t="shared" si="14"/>
        <v>9.588000000000001</v>
      </c>
      <c r="N494" s="8">
        <f t="shared" si="15"/>
        <v>46039</v>
      </c>
    </row>
    <row r="495" spans="1:14" x14ac:dyDescent="0.4">
      <c r="A495" t="s">
        <v>562</v>
      </c>
      <c r="B495">
        <v>307</v>
      </c>
      <c r="C495">
        <v>21</v>
      </c>
      <c r="D495" s="2">
        <v>46040.109722222223</v>
      </c>
      <c r="E495">
        <v>799</v>
      </c>
      <c r="F495" t="s">
        <v>66</v>
      </c>
      <c r="G495" t="s">
        <v>64</v>
      </c>
      <c r="H495">
        <v>49</v>
      </c>
      <c r="I495" t="str">
        <f>IFERROR(VLOOKUP($C495,Merchants!$A$2:$D$41,2,FALSE),"Merchant not found")</f>
        <v>Merchant_021</v>
      </c>
      <c r="J495" t="str">
        <f>IFERROR(VLOOKUP($C495,Merchants!$A$2:$D$41,3,FALSE),"Merchant not found")</f>
        <v>food_delivery</v>
      </c>
      <c r="K495" t="str">
        <f>IFERROR(VLOOKUP($C495,Merchants!$A$2:$D$41,4,FALSE),"Merchant not found")</f>
        <v>East</v>
      </c>
      <c r="L495" s="3">
        <f>IFERROR(HLOOKUP(F495,Fee_Lookup!$B$1:$E$2,2,FALSE),"Method not found")</f>
        <v>5.0000000000000001E-3</v>
      </c>
      <c r="M495" s="6">
        <f t="shared" si="14"/>
        <v>3.9950000000000001</v>
      </c>
      <c r="N495" s="8">
        <f t="shared" si="15"/>
        <v>46040</v>
      </c>
    </row>
    <row r="496" spans="1:14" x14ac:dyDescent="0.4">
      <c r="A496" t="s">
        <v>563</v>
      </c>
      <c r="B496">
        <v>199</v>
      </c>
      <c r="C496">
        <v>6</v>
      </c>
      <c r="D496" s="2">
        <v>46023.393055555556</v>
      </c>
      <c r="E496">
        <v>49</v>
      </c>
      <c r="F496" t="s">
        <v>66</v>
      </c>
      <c r="G496" t="s">
        <v>64</v>
      </c>
      <c r="H496">
        <v>92</v>
      </c>
      <c r="I496" t="str">
        <f>IFERROR(VLOOKUP($C496,Merchants!$A$2:$D$41,2,FALSE),"Merchant not found")</f>
        <v>Merchant_006</v>
      </c>
      <c r="J496" t="str">
        <f>IFERROR(VLOOKUP($C496,Merchants!$A$2:$D$41,3,FALSE),"Merchant not found")</f>
        <v>food_delivery</v>
      </c>
      <c r="K496" t="str">
        <f>IFERROR(VLOOKUP($C496,Merchants!$A$2:$D$41,4,FALSE),"Merchant not found")</f>
        <v>South</v>
      </c>
      <c r="L496" s="3">
        <f>IFERROR(HLOOKUP(F496,Fee_Lookup!$B$1:$E$2,2,FALSE),"Method not found")</f>
        <v>5.0000000000000001E-3</v>
      </c>
      <c r="M496" s="6">
        <f t="shared" si="14"/>
        <v>0.245</v>
      </c>
      <c r="N496" s="8">
        <f t="shared" si="15"/>
        <v>46023</v>
      </c>
    </row>
    <row r="497" spans="1:14" x14ac:dyDescent="0.4">
      <c r="A497" t="s">
        <v>564</v>
      </c>
      <c r="B497">
        <v>125</v>
      </c>
      <c r="C497">
        <v>37</v>
      </c>
      <c r="D497" s="2">
        <v>46051.747916666667</v>
      </c>
      <c r="E497">
        <v>149</v>
      </c>
      <c r="F497" t="s">
        <v>63</v>
      </c>
      <c r="G497" t="s">
        <v>64</v>
      </c>
      <c r="H497">
        <v>66</v>
      </c>
      <c r="I497" t="str">
        <f>IFERROR(VLOOKUP($C497,Merchants!$A$2:$D$41,2,FALSE),"Merchant not found")</f>
        <v>Merchant_037</v>
      </c>
      <c r="J497" t="str">
        <f>IFERROR(VLOOKUP($C497,Merchants!$A$2:$D$41,3,FALSE),"Merchant not found")</f>
        <v>entertainment</v>
      </c>
      <c r="K497" t="str">
        <f>IFERROR(VLOOKUP($C497,Merchants!$A$2:$D$41,4,FALSE),"Merchant not found")</f>
        <v>South</v>
      </c>
      <c r="L497" s="3">
        <f>IFERROR(HLOOKUP(F497,Fee_Lookup!$B$1:$E$2,2,FALSE),"Method not found")</f>
        <v>7.4999999999999997E-3</v>
      </c>
      <c r="M497" s="6">
        <f t="shared" si="14"/>
        <v>1.1174999999999999</v>
      </c>
      <c r="N497" s="8">
        <f t="shared" si="15"/>
        <v>46051</v>
      </c>
    </row>
    <row r="498" spans="1:14" x14ac:dyDescent="0.4">
      <c r="A498" t="s">
        <v>565</v>
      </c>
      <c r="B498">
        <v>87</v>
      </c>
      <c r="C498">
        <v>9</v>
      </c>
      <c r="D498" s="2">
        <v>46028.89166666667</v>
      </c>
      <c r="E498">
        <v>149</v>
      </c>
      <c r="F498" t="s">
        <v>66</v>
      </c>
      <c r="G498" t="s">
        <v>64</v>
      </c>
      <c r="H498">
        <v>34</v>
      </c>
      <c r="I498" t="str">
        <f>IFERROR(VLOOKUP($C498,Merchants!$A$2:$D$41,2,FALSE),"Merchant not found")</f>
        <v>Merchant_009</v>
      </c>
      <c r="J498" t="str">
        <f>IFERROR(VLOOKUP($C498,Merchants!$A$2:$D$41,3,FALSE),"Merchant not found")</f>
        <v>ecommerce</v>
      </c>
      <c r="K498" t="str">
        <f>IFERROR(VLOOKUP($C498,Merchants!$A$2:$D$41,4,FALSE),"Merchant not found")</f>
        <v>North</v>
      </c>
      <c r="L498" s="3">
        <f>IFERROR(HLOOKUP(F498,Fee_Lookup!$B$1:$E$2,2,FALSE),"Method not found")</f>
        <v>5.0000000000000001E-3</v>
      </c>
      <c r="M498" s="6">
        <f t="shared" si="14"/>
        <v>0.745</v>
      </c>
      <c r="N498" s="8">
        <f t="shared" si="15"/>
        <v>46028</v>
      </c>
    </row>
    <row r="499" spans="1:14" x14ac:dyDescent="0.4">
      <c r="A499" t="s">
        <v>566</v>
      </c>
      <c r="B499">
        <v>75</v>
      </c>
      <c r="C499">
        <v>5</v>
      </c>
      <c r="D499" s="2">
        <v>46032.354861111111</v>
      </c>
      <c r="E499">
        <v>99</v>
      </c>
      <c r="F499" t="s">
        <v>66</v>
      </c>
      <c r="G499" t="s">
        <v>64</v>
      </c>
      <c r="H499">
        <v>21</v>
      </c>
      <c r="I499" t="str">
        <f>IFERROR(VLOOKUP($C499,Merchants!$A$2:$D$41,2,FALSE),"Merchant not found")</f>
        <v>Merchant_005</v>
      </c>
      <c r="J499" t="str">
        <f>IFERROR(VLOOKUP($C499,Merchants!$A$2:$D$41,3,FALSE),"Merchant not found")</f>
        <v>recharge</v>
      </c>
      <c r="K499" t="str">
        <f>IFERROR(VLOOKUP($C499,Merchants!$A$2:$D$41,4,FALSE),"Merchant not found")</f>
        <v>South</v>
      </c>
      <c r="L499" s="3">
        <f>IFERROR(HLOOKUP(F499,Fee_Lookup!$B$1:$E$2,2,FALSE),"Method not found")</f>
        <v>5.0000000000000001E-3</v>
      </c>
      <c r="M499" s="6">
        <f t="shared" si="14"/>
        <v>0.495</v>
      </c>
      <c r="N499" s="8">
        <f t="shared" si="15"/>
        <v>46032</v>
      </c>
    </row>
    <row r="500" spans="1:14" x14ac:dyDescent="0.4">
      <c r="A500" t="s">
        <v>567</v>
      </c>
      <c r="B500">
        <v>154</v>
      </c>
      <c r="C500">
        <v>31</v>
      </c>
      <c r="D500" s="2">
        <v>46036.351388888892</v>
      </c>
      <c r="E500">
        <v>499</v>
      </c>
      <c r="F500" t="s">
        <v>63</v>
      </c>
      <c r="G500" t="s">
        <v>64</v>
      </c>
      <c r="H500">
        <v>100</v>
      </c>
      <c r="I500" t="str">
        <f>IFERROR(VLOOKUP($C500,Merchants!$A$2:$D$41,2,FALSE),"Merchant not found")</f>
        <v>Merchant_031</v>
      </c>
      <c r="J500" t="str">
        <f>IFERROR(VLOOKUP($C500,Merchants!$A$2:$D$41,3,FALSE),"Merchant not found")</f>
        <v>bill_payment</v>
      </c>
      <c r="K500" t="str">
        <f>IFERROR(VLOOKUP($C500,Merchants!$A$2:$D$41,4,FALSE),"Merchant not found")</f>
        <v>East</v>
      </c>
      <c r="L500" s="3">
        <f>IFERROR(HLOOKUP(F500,Fee_Lookup!$B$1:$E$2,2,FALSE),"Method not found")</f>
        <v>7.4999999999999997E-3</v>
      </c>
      <c r="M500" s="6">
        <f t="shared" si="14"/>
        <v>3.7424999999999997</v>
      </c>
      <c r="N500" s="8">
        <f t="shared" si="15"/>
        <v>46036</v>
      </c>
    </row>
    <row r="501" spans="1:14" x14ac:dyDescent="0.4">
      <c r="A501" t="s">
        <v>568</v>
      </c>
      <c r="B501">
        <v>127</v>
      </c>
      <c r="C501">
        <v>32</v>
      </c>
      <c r="D501" s="2">
        <v>46025.469444444447</v>
      </c>
      <c r="E501">
        <v>149</v>
      </c>
      <c r="F501" t="s">
        <v>78</v>
      </c>
      <c r="G501" t="s">
        <v>64</v>
      </c>
      <c r="H501">
        <v>76</v>
      </c>
      <c r="I501" t="str">
        <f>IFERROR(VLOOKUP($C501,Merchants!$A$2:$D$41,2,FALSE),"Merchant not found")</f>
        <v>Merchant_032</v>
      </c>
      <c r="J501" t="str">
        <f>IFERROR(VLOOKUP($C501,Merchants!$A$2:$D$41,3,FALSE),"Merchant not found")</f>
        <v>food_delivery</v>
      </c>
      <c r="K501" t="str">
        <f>IFERROR(VLOOKUP($C501,Merchants!$A$2:$D$41,4,FALSE),"Merchant not found")</f>
        <v>West</v>
      </c>
      <c r="L501" s="3">
        <f>IFERROR(HLOOKUP(F501,Fee_Lookup!$B$1:$E$2,2,FALSE),"Method not found")</f>
        <v>1.2E-2</v>
      </c>
      <c r="M501" s="6">
        <f t="shared" si="14"/>
        <v>1.788</v>
      </c>
      <c r="N501" s="8">
        <f t="shared" si="15"/>
        <v>46025</v>
      </c>
    </row>
    <row r="502" spans="1:14" x14ac:dyDescent="0.4">
      <c r="A502" t="s">
        <v>569</v>
      </c>
      <c r="B502">
        <v>351</v>
      </c>
      <c r="C502">
        <v>7</v>
      </c>
      <c r="D502" s="2">
        <v>46052.25</v>
      </c>
      <c r="E502">
        <v>1999</v>
      </c>
      <c r="F502" t="s">
        <v>78</v>
      </c>
      <c r="G502" t="s">
        <v>92</v>
      </c>
      <c r="H502">
        <v>79</v>
      </c>
      <c r="I502" t="str">
        <f>IFERROR(VLOOKUP($C502,Merchants!$A$2:$D$41,2,FALSE),"Merchant not found")</f>
        <v>Merchant_007</v>
      </c>
      <c r="J502" t="str">
        <f>IFERROR(VLOOKUP($C502,Merchants!$A$2:$D$41,3,FALSE),"Merchant not found")</f>
        <v>food_delivery</v>
      </c>
      <c r="K502" t="str">
        <f>IFERROR(VLOOKUP($C502,Merchants!$A$2:$D$41,4,FALSE),"Merchant not found")</f>
        <v>East</v>
      </c>
      <c r="L502" s="3">
        <f>IFERROR(HLOOKUP(F502,Fee_Lookup!$B$1:$E$2,2,FALSE),"Method not found")</f>
        <v>1.2E-2</v>
      </c>
      <c r="M502" s="6">
        <f t="shared" si="14"/>
        <v>23.988</v>
      </c>
      <c r="N502" s="8">
        <f t="shared" si="15"/>
        <v>46052</v>
      </c>
    </row>
    <row r="503" spans="1:14" x14ac:dyDescent="0.4">
      <c r="A503" t="s">
        <v>570</v>
      </c>
      <c r="B503">
        <v>352</v>
      </c>
      <c r="C503">
        <v>40</v>
      </c>
      <c r="D503" s="2">
        <v>46033.5</v>
      </c>
      <c r="E503">
        <v>4999</v>
      </c>
      <c r="F503" t="s">
        <v>78</v>
      </c>
      <c r="G503" t="s">
        <v>92</v>
      </c>
      <c r="H503">
        <v>95</v>
      </c>
      <c r="I503" t="str">
        <f>IFERROR(VLOOKUP($C503,Merchants!$A$2:$D$41,2,FALSE),"Merchant not found")</f>
        <v>Merchant_040</v>
      </c>
      <c r="J503" t="str">
        <f>IFERROR(VLOOKUP($C503,Merchants!$A$2:$D$41,3,FALSE),"Merchant not found")</f>
        <v>entertainment</v>
      </c>
      <c r="K503" t="str">
        <f>IFERROR(VLOOKUP($C503,Merchants!$A$2:$D$41,4,FALSE),"Merchant not found")</f>
        <v>South</v>
      </c>
      <c r="L503" s="3">
        <f>IFERROR(HLOOKUP(F503,Fee_Lookup!$B$1:$E$2,2,FALSE),"Method not found")</f>
        <v>1.2E-2</v>
      </c>
      <c r="M503" s="6">
        <f t="shared" si="14"/>
        <v>59.988</v>
      </c>
      <c r="N503" s="8">
        <f t="shared" si="15"/>
        <v>46033</v>
      </c>
    </row>
    <row r="504" spans="1:14" x14ac:dyDescent="0.4">
      <c r="A504" t="s">
        <v>571</v>
      </c>
      <c r="B504">
        <v>353</v>
      </c>
      <c r="C504">
        <v>28</v>
      </c>
      <c r="D504" s="2">
        <v>46043.583333333336</v>
      </c>
      <c r="E504">
        <v>1999</v>
      </c>
      <c r="F504" t="s">
        <v>78</v>
      </c>
      <c r="G504" t="s">
        <v>92</v>
      </c>
      <c r="H504">
        <v>79</v>
      </c>
      <c r="I504" t="str">
        <f>IFERROR(VLOOKUP($C504,Merchants!$A$2:$D$41,2,FALSE),"Merchant not found")</f>
        <v>Merchant_028</v>
      </c>
      <c r="J504" t="str">
        <f>IFERROR(VLOOKUP($C504,Merchants!$A$2:$D$41,3,FALSE),"Merchant not found")</f>
        <v>ecommerce</v>
      </c>
      <c r="K504" t="str">
        <f>IFERROR(VLOOKUP($C504,Merchants!$A$2:$D$41,4,FALSE),"Merchant not found")</f>
        <v>South</v>
      </c>
      <c r="L504" s="3">
        <f>IFERROR(HLOOKUP(F504,Fee_Lookup!$B$1:$E$2,2,FALSE),"Method not found")</f>
        <v>1.2E-2</v>
      </c>
      <c r="M504" s="6">
        <f t="shared" si="14"/>
        <v>23.988</v>
      </c>
      <c r="N504" s="8">
        <f t="shared" si="15"/>
        <v>46043</v>
      </c>
    </row>
    <row r="505" spans="1:14" x14ac:dyDescent="0.4">
      <c r="A505" t="s">
        <v>572</v>
      </c>
      <c r="B505">
        <v>354</v>
      </c>
      <c r="C505">
        <v>13</v>
      </c>
      <c r="D505" s="2">
        <v>46043.791666666664</v>
      </c>
      <c r="E505">
        <v>4999</v>
      </c>
      <c r="F505" t="s">
        <v>78</v>
      </c>
      <c r="G505" t="s">
        <v>92</v>
      </c>
      <c r="H505">
        <v>80</v>
      </c>
      <c r="I505" t="str">
        <f>IFERROR(VLOOKUP($C505,Merchants!$A$2:$D$41,2,FALSE),"Merchant not found")</f>
        <v>Merchant_013</v>
      </c>
      <c r="J505" t="str">
        <f>IFERROR(VLOOKUP($C505,Merchants!$A$2:$D$41,3,FALSE),"Merchant not found")</f>
        <v>travel</v>
      </c>
      <c r="K505" t="str">
        <f>IFERROR(VLOOKUP($C505,Merchants!$A$2:$D$41,4,FALSE),"Merchant not found")</f>
        <v>East</v>
      </c>
      <c r="L505" s="3">
        <f>IFERROR(HLOOKUP(F505,Fee_Lookup!$B$1:$E$2,2,FALSE),"Method not found")</f>
        <v>1.2E-2</v>
      </c>
      <c r="M505" s="6">
        <f t="shared" si="14"/>
        <v>59.988</v>
      </c>
      <c r="N505" s="8">
        <f t="shared" si="15"/>
        <v>46043</v>
      </c>
    </row>
    <row r="506" spans="1:14" x14ac:dyDescent="0.4">
      <c r="A506" t="s">
        <v>573</v>
      </c>
      <c r="B506">
        <v>355</v>
      </c>
      <c r="C506">
        <v>19</v>
      </c>
      <c r="D506" s="2">
        <v>46038.5</v>
      </c>
      <c r="E506">
        <v>4999</v>
      </c>
      <c r="F506" t="s">
        <v>78</v>
      </c>
      <c r="G506" t="s">
        <v>92</v>
      </c>
      <c r="H506">
        <v>100</v>
      </c>
      <c r="I506" t="str">
        <f>IFERROR(VLOOKUP($C506,Merchants!$A$2:$D$41,2,FALSE),"Merchant not found")</f>
        <v>Merchant_019</v>
      </c>
      <c r="J506" t="str">
        <f>IFERROR(VLOOKUP($C506,Merchants!$A$2:$D$41,3,FALSE),"Merchant not found")</f>
        <v>grocery</v>
      </c>
      <c r="K506" t="str">
        <f>IFERROR(VLOOKUP($C506,Merchants!$A$2:$D$41,4,FALSE),"Merchant not found")</f>
        <v>North</v>
      </c>
      <c r="L506" s="3">
        <f>IFERROR(HLOOKUP(F506,Fee_Lookup!$B$1:$E$2,2,FALSE),"Method not found")</f>
        <v>1.2E-2</v>
      </c>
      <c r="M506" s="6">
        <f t="shared" si="14"/>
        <v>59.988</v>
      </c>
      <c r="N506" s="8">
        <f t="shared" si="15"/>
        <v>46038</v>
      </c>
    </row>
    <row r="507" spans="1:14" x14ac:dyDescent="0.4">
      <c r="A507" t="s">
        <v>574</v>
      </c>
      <c r="B507">
        <v>356</v>
      </c>
      <c r="C507">
        <v>25</v>
      </c>
      <c r="D507" s="2">
        <v>46051.291666666664</v>
      </c>
      <c r="E507">
        <v>2999</v>
      </c>
      <c r="F507" t="s">
        <v>78</v>
      </c>
      <c r="G507" t="s">
        <v>92</v>
      </c>
      <c r="H507">
        <v>96</v>
      </c>
      <c r="I507" t="str">
        <f>IFERROR(VLOOKUP($C507,Merchants!$A$2:$D$41,2,FALSE),"Merchant not found")</f>
        <v>Merchant_025</v>
      </c>
      <c r="J507" t="str">
        <f>IFERROR(VLOOKUP($C507,Merchants!$A$2:$D$41,3,FALSE),"Merchant not found")</f>
        <v>travel</v>
      </c>
      <c r="K507" t="str">
        <f>IFERROR(VLOOKUP($C507,Merchants!$A$2:$D$41,4,FALSE),"Merchant not found")</f>
        <v>South</v>
      </c>
      <c r="L507" s="3">
        <f>IFERROR(HLOOKUP(F507,Fee_Lookup!$B$1:$E$2,2,FALSE),"Method not found")</f>
        <v>1.2E-2</v>
      </c>
      <c r="M507" s="6">
        <f t="shared" si="14"/>
        <v>35.988</v>
      </c>
      <c r="N507" s="8">
        <f t="shared" si="15"/>
        <v>46051</v>
      </c>
    </row>
    <row r="508" spans="1:14" x14ac:dyDescent="0.4">
      <c r="A508" t="s">
        <v>575</v>
      </c>
      <c r="B508">
        <v>357</v>
      </c>
      <c r="C508">
        <v>37</v>
      </c>
      <c r="D508" s="2">
        <v>46045.458333333336</v>
      </c>
      <c r="E508">
        <v>1999</v>
      </c>
      <c r="F508" t="s">
        <v>78</v>
      </c>
      <c r="G508" t="s">
        <v>92</v>
      </c>
      <c r="H508">
        <v>88</v>
      </c>
      <c r="I508" t="str">
        <f>IFERROR(VLOOKUP($C508,Merchants!$A$2:$D$41,2,FALSE),"Merchant not found")</f>
        <v>Merchant_037</v>
      </c>
      <c r="J508" t="str">
        <f>IFERROR(VLOOKUP($C508,Merchants!$A$2:$D$41,3,FALSE),"Merchant not found")</f>
        <v>entertainment</v>
      </c>
      <c r="K508" t="str">
        <f>IFERROR(VLOOKUP($C508,Merchants!$A$2:$D$41,4,FALSE),"Merchant not found")</f>
        <v>South</v>
      </c>
      <c r="L508" s="3">
        <f>IFERROR(HLOOKUP(F508,Fee_Lookup!$B$1:$E$2,2,FALSE),"Method not found")</f>
        <v>1.2E-2</v>
      </c>
      <c r="M508" s="6">
        <f t="shared" si="14"/>
        <v>23.988</v>
      </c>
      <c r="N508" s="8">
        <f t="shared" si="15"/>
        <v>46045</v>
      </c>
    </row>
    <row r="509" spans="1:14" x14ac:dyDescent="0.4">
      <c r="A509" t="s">
        <v>576</v>
      </c>
      <c r="B509">
        <v>358</v>
      </c>
      <c r="C509">
        <v>36</v>
      </c>
      <c r="D509" s="2">
        <v>46050.208333333336</v>
      </c>
      <c r="E509">
        <v>999</v>
      </c>
      <c r="F509" t="s">
        <v>78</v>
      </c>
      <c r="G509" t="s">
        <v>92</v>
      </c>
      <c r="H509">
        <v>100</v>
      </c>
      <c r="I509" t="str">
        <f>IFERROR(VLOOKUP($C509,Merchants!$A$2:$D$41,2,FALSE),"Merchant not found")</f>
        <v>Merchant_036</v>
      </c>
      <c r="J509" t="str">
        <f>IFERROR(VLOOKUP($C509,Merchants!$A$2:$D$41,3,FALSE),"Merchant not found")</f>
        <v>entertainment</v>
      </c>
      <c r="K509" t="str">
        <f>IFERROR(VLOOKUP($C509,Merchants!$A$2:$D$41,4,FALSE),"Merchant not found")</f>
        <v>East</v>
      </c>
      <c r="L509" s="3">
        <f>IFERROR(HLOOKUP(F509,Fee_Lookup!$B$1:$E$2,2,FALSE),"Method not found")</f>
        <v>1.2E-2</v>
      </c>
      <c r="M509" s="6">
        <f t="shared" si="14"/>
        <v>11.988</v>
      </c>
      <c r="N509" s="8">
        <f t="shared" si="15"/>
        <v>46050</v>
      </c>
    </row>
    <row r="510" spans="1:14" x14ac:dyDescent="0.4">
      <c r="A510" t="s">
        <v>577</v>
      </c>
      <c r="B510">
        <v>359</v>
      </c>
      <c r="C510">
        <v>29</v>
      </c>
      <c r="D510" s="2">
        <v>46047.916666666664</v>
      </c>
      <c r="E510">
        <v>2999</v>
      </c>
      <c r="F510" t="s">
        <v>78</v>
      </c>
      <c r="G510" t="s">
        <v>92</v>
      </c>
      <c r="H510">
        <v>96</v>
      </c>
      <c r="I510" t="str">
        <f>IFERROR(VLOOKUP($C510,Merchants!$A$2:$D$41,2,FALSE),"Merchant not found")</f>
        <v>Merchant_029</v>
      </c>
      <c r="J510" t="str">
        <f>IFERROR(VLOOKUP($C510,Merchants!$A$2:$D$41,3,FALSE),"Merchant not found")</f>
        <v>ecommerce</v>
      </c>
      <c r="K510" t="str">
        <f>IFERROR(VLOOKUP($C510,Merchants!$A$2:$D$41,4,FALSE),"Merchant not found")</f>
        <v>North</v>
      </c>
      <c r="L510" s="3">
        <f>IFERROR(HLOOKUP(F510,Fee_Lookup!$B$1:$E$2,2,FALSE),"Method not found")</f>
        <v>1.2E-2</v>
      </c>
      <c r="M510" s="6">
        <f t="shared" si="14"/>
        <v>35.988</v>
      </c>
      <c r="N510" s="8">
        <f t="shared" si="15"/>
        <v>46047</v>
      </c>
    </row>
    <row r="511" spans="1:14" x14ac:dyDescent="0.4">
      <c r="A511" t="s">
        <v>578</v>
      </c>
      <c r="B511">
        <v>360</v>
      </c>
      <c r="C511">
        <v>32</v>
      </c>
      <c r="D511" s="2">
        <v>46035.541666666664</v>
      </c>
      <c r="E511">
        <v>1999</v>
      </c>
      <c r="F511" t="s">
        <v>78</v>
      </c>
      <c r="G511" t="s">
        <v>92</v>
      </c>
      <c r="H511">
        <v>90</v>
      </c>
      <c r="I511" t="str">
        <f>IFERROR(VLOOKUP($C511,Merchants!$A$2:$D$41,2,FALSE),"Merchant not found")</f>
        <v>Merchant_032</v>
      </c>
      <c r="J511" t="str">
        <f>IFERROR(VLOOKUP($C511,Merchants!$A$2:$D$41,3,FALSE),"Merchant not found")</f>
        <v>food_delivery</v>
      </c>
      <c r="K511" t="str">
        <f>IFERROR(VLOOKUP($C511,Merchants!$A$2:$D$41,4,FALSE),"Merchant not found")</f>
        <v>West</v>
      </c>
      <c r="L511" s="3">
        <f>IFERROR(HLOOKUP(F511,Fee_Lookup!$B$1:$E$2,2,FALSE),"Method not found")</f>
        <v>1.2E-2</v>
      </c>
      <c r="M511" s="6">
        <f t="shared" si="14"/>
        <v>23.988</v>
      </c>
      <c r="N511" s="8">
        <f t="shared" si="15"/>
        <v>46035</v>
      </c>
    </row>
    <row r="512" spans="1:14" x14ac:dyDescent="0.4">
      <c r="A512" t="s">
        <v>579</v>
      </c>
      <c r="B512">
        <v>361</v>
      </c>
      <c r="C512">
        <v>10</v>
      </c>
      <c r="D512" s="2">
        <v>46042.291666666664</v>
      </c>
      <c r="E512">
        <v>4999</v>
      </c>
      <c r="F512" t="s">
        <v>78</v>
      </c>
      <c r="G512" t="s">
        <v>92</v>
      </c>
      <c r="H512">
        <v>95</v>
      </c>
      <c r="I512" t="str">
        <f>IFERROR(VLOOKUP($C512,Merchants!$A$2:$D$41,2,FALSE),"Merchant not found")</f>
        <v>Merchant_010</v>
      </c>
      <c r="J512" t="str">
        <f>IFERROR(VLOOKUP($C512,Merchants!$A$2:$D$41,3,FALSE),"Merchant not found")</f>
        <v>grocery</v>
      </c>
      <c r="K512" t="str">
        <f>IFERROR(VLOOKUP($C512,Merchants!$A$2:$D$41,4,FALSE),"Merchant not found")</f>
        <v>West</v>
      </c>
      <c r="L512" s="3">
        <f>IFERROR(HLOOKUP(F512,Fee_Lookup!$B$1:$E$2,2,FALSE),"Method not found")</f>
        <v>1.2E-2</v>
      </c>
      <c r="M512" s="6">
        <f t="shared" si="14"/>
        <v>59.988</v>
      </c>
      <c r="N512" s="8">
        <f t="shared" si="15"/>
        <v>46042</v>
      </c>
    </row>
    <row r="513" spans="1:14" x14ac:dyDescent="0.4">
      <c r="A513" t="s">
        <v>580</v>
      </c>
      <c r="B513">
        <v>362</v>
      </c>
      <c r="C513">
        <v>39</v>
      </c>
      <c r="D513" s="2">
        <v>46045.083333333336</v>
      </c>
      <c r="E513">
        <v>4999</v>
      </c>
      <c r="F513" t="s">
        <v>78</v>
      </c>
      <c r="G513" t="s">
        <v>92</v>
      </c>
      <c r="H513">
        <v>88</v>
      </c>
      <c r="I513" t="str">
        <f>IFERROR(VLOOKUP($C513,Merchants!$A$2:$D$41,2,FALSE),"Merchant not found")</f>
        <v>Merchant_039</v>
      </c>
      <c r="J513" t="str">
        <f>IFERROR(VLOOKUP($C513,Merchants!$A$2:$D$41,3,FALSE),"Merchant not found")</f>
        <v>entertainment</v>
      </c>
      <c r="K513" t="str">
        <f>IFERROR(VLOOKUP($C513,Merchants!$A$2:$D$41,4,FALSE),"Merchant not found")</f>
        <v>North</v>
      </c>
      <c r="L513" s="3">
        <f>IFERROR(HLOOKUP(F513,Fee_Lookup!$B$1:$E$2,2,FALSE),"Method not found")</f>
        <v>1.2E-2</v>
      </c>
      <c r="M513" s="6">
        <f t="shared" si="14"/>
        <v>59.988</v>
      </c>
      <c r="N513" s="8">
        <f t="shared" si="15"/>
        <v>46045</v>
      </c>
    </row>
    <row r="514" spans="1:14" x14ac:dyDescent="0.4">
      <c r="A514" t="s">
        <v>581</v>
      </c>
      <c r="B514">
        <v>363</v>
      </c>
      <c r="C514">
        <v>27</v>
      </c>
      <c r="D514" s="2">
        <v>46045.708333333336</v>
      </c>
      <c r="E514">
        <v>999</v>
      </c>
      <c r="F514" t="s">
        <v>78</v>
      </c>
      <c r="G514" t="s">
        <v>92</v>
      </c>
      <c r="H514">
        <v>95</v>
      </c>
      <c r="I514" t="str">
        <f>IFERROR(VLOOKUP($C514,Merchants!$A$2:$D$41,2,FALSE),"Merchant not found")</f>
        <v>Merchant_027</v>
      </c>
      <c r="J514" t="str">
        <f>IFERROR(VLOOKUP($C514,Merchants!$A$2:$D$41,3,FALSE),"Merchant not found")</f>
        <v>ecommerce</v>
      </c>
      <c r="K514" t="str">
        <f>IFERROR(VLOOKUP($C514,Merchants!$A$2:$D$41,4,FALSE),"Merchant not found")</f>
        <v>North</v>
      </c>
      <c r="L514" s="3">
        <f>IFERROR(HLOOKUP(F514,Fee_Lookup!$B$1:$E$2,2,FALSE),"Method not found")</f>
        <v>1.2E-2</v>
      </c>
      <c r="M514" s="6">
        <f t="shared" si="14"/>
        <v>11.988</v>
      </c>
      <c r="N514" s="8">
        <f t="shared" si="15"/>
        <v>46045</v>
      </c>
    </row>
    <row r="515" spans="1:14" x14ac:dyDescent="0.4">
      <c r="A515" t="s">
        <v>582</v>
      </c>
      <c r="B515">
        <v>364</v>
      </c>
      <c r="C515">
        <v>39</v>
      </c>
      <c r="D515" s="2">
        <v>46044.916666666664</v>
      </c>
      <c r="E515">
        <v>999</v>
      </c>
      <c r="F515" t="s">
        <v>78</v>
      </c>
      <c r="G515" t="s">
        <v>92</v>
      </c>
      <c r="H515">
        <v>73</v>
      </c>
      <c r="I515" t="str">
        <f>IFERROR(VLOOKUP($C515,Merchants!$A$2:$D$41,2,FALSE),"Merchant not found")</f>
        <v>Merchant_039</v>
      </c>
      <c r="J515" t="str">
        <f>IFERROR(VLOOKUP($C515,Merchants!$A$2:$D$41,3,FALSE),"Merchant not found")</f>
        <v>entertainment</v>
      </c>
      <c r="K515" t="str">
        <f>IFERROR(VLOOKUP($C515,Merchants!$A$2:$D$41,4,FALSE),"Merchant not found")</f>
        <v>North</v>
      </c>
      <c r="L515" s="3">
        <f>IFERROR(HLOOKUP(F515,Fee_Lookup!$B$1:$E$2,2,FALSE),"Method not found")</f>
        <v>1.2E-2</v>
      </c>
      <c r="M515" s="6">
        <f t="shared" ref="M515:M548" si="16">E515*L515</f>
        <v>11.988</v>
      </c>
      <c r="N515" s="8">
        <f t="shared" ref="N515:N548" si="17">INT(D515)</f>
        <v>46044</v>
      </c>
    </row>
    <row r="516" spans="1:14" x14ac:dyDescent="0.4">
      <c r="A516" t="s">
        <v>583</v>
      </c>
      <c r="B516">
        <v>365</v>
      </c>
      <c r="C516">
        <v>23</v>
      </c>
      <c r="D516" s="2">
        <v>46040.875</v>
      </c>
      <c r="E516">
        <v>1999</v>
      </c>
      <c r="F516" t="s">
        <v>78</v>
      </c>
      <c r="G516" t="s">
        <v>92</v>
      </c>
      <c r="H516">
        <v>90</v>
      </c>
      <c r="I516" t="str">
        <f>IFERROR(VLOOKUP($C516,Merchants!$A$2:$D$41,2,FALSE),"Merchant not found")</f>
        <v>Merchant_023</v>
      </c>
      <c r="J516" t="str">
        <f>IFERROR(VLOOKUP($C516,Merchants!$A$2:$D$41,3,FALSE),"Merchant not found")</f>
        <v>travel</v>
      </c>
      <c r="K516" t="str">
        <f>IFERROR(VLOOKUP($C516,Merchants!$A$2:$D$41,4,FALSE),"Merchant not found")</f>
        <v>North</v>
      </c>
      <c r="L516" s="3">
        <f>IFERROR(HLOOKUP(F516,Fee_Lookup!$B$1:$E$2,2,FALSE),"Method not found")</f>
        <v>1.2E-2</v>
      </c>
      <c r="M516" s="6">
        <f t="shared" si="16"/>
        <v>23.988</v>
      </c>
      <c r="N516" s="8">
        <f t="shared" si="17"/>
        <v>46040</v>
      </c>
    </row>
    <row r="517" spans="1:14" x14ac:dyDescent="0.4">
      <c r="A517" t="s">
        <v>584</v>
      </c>
      <c r="B517">
        <v>314</v>
      </c>
      <c r="C517">
        <v>26</v>
      </c>
      <c r="D517" s="2">
        <v>46024.75</v>
      </c>
      <c r="E517">
        <v>399</v>
      </c>
      <c r="F517" t="s">
        <v>78</v>
      </c>
      <c r="G517" t="s">
        <v>79</v>
      </c>
      <c r="H517">
        <v>87</v>
      </c>
      <c r="I517" t="str">
        <f>IFERROR(VLOOKUP($C517,Merchants!$A$2:$D$41,2,FALSE),"Merchant not found")</f>
        <v>Merchant_026</v>
      </c>
      <c r="J517" t="str">
        <f>IFERROR(VLOOKUP($C517,Merchants!$A$2:$D$41,3,FALSE),"Merchant not found")</f>
        <v>food_delivery</v>
      </c>
      <c r="K517" t="str">
        <f>IFERROR(VLOOKUP($C517,Merchants!$A$2:$D$41,4,FALSE),"Merchant not found")</f>
        <v>East</v>
      </c>
      <c r="L517" s="3">
        <f>IFERROR(HLOOKUP(F517,Fee_Lookup!$B$1:$E$2,2,FALSE),"Method not found")</f>
        <v>1.2E-2</v>
      </c>
      <c r="M517" s="6">
        <f t="shared" si="16"/>
        <v>4.7880000000000003</v>
      </c>
      <c r="N517" s="8">
        <f t="shared" si="17"/>
        <v>46024</v>
      </c>
    </row>
    <row r="518" spans="1:14" x14ac:dyDescent="0.4">
      <c r="A518" t="s">
        <v>585</v>
      </c>
      <c r="B518">
        <v>314</v>
      </c>
      <c r="C518">
        <v>7</v>
      </c>
      <c r="D518" s="2">
        <v>46024.750694444447</v>
      </c>
      <c r="E518">
        <v>299</v>
      </c>
      <c r="F518" t="s">
        <v>78</v>
      </c>
      <c r="G518" t="s">
        <v>79</v>
      </c>
      <c r="H518">
        <v>66</v>
      </c>
      <c r="I518" t="str">
        <f>IFERROR(VLOOKUP($C518,Merchants!$A$2:$D$41,2,FALSE),"Merchant not found")</f>
        <v>Merchant_007</v>
      </c>
      <c r="J518" t="str">
        <f>IFERROR(VLOOKUP($C518,Merchants!$A$2:$D$41,3,FALSE),"Merchant not found")</f>
        <v>food_delivery</v>
      </c>
      <c r="K518" t="str">
        <f>IFERROR(VLOOKUP($C518,Merchants!$A$2:$D$41,4,FALSE),"Merchant not found")</f>
        <v>East</v>
      </c>
      <c r="L518" s="3">
        <f>IFERROR(HLOOKUP(F518,Fee_Lookup!$B$1:$E$2,2,FALSE),"Method not found")</f>
        <v>1.2E-2</v>
      </c>
      <c r="M518" s="6">
        <f t="shared" si="16"/>
        <v>3.5880000000000001</v>
      </c>
      <c r="N518" s="8">
        <f t="shared" si="17"/>
        <v>46024</v>
      </c>
    </row>
    <row r="519" spans="1:14" x14ac:dyDescent="0.4">
      <c r="A519" t="s">
        <v>586</v>
      </c>
      <c r="B519">
        <v>314</v>
      </c>
      <c r="C519">
        <v>17</v>
      </c>
      <c r="D519" s="2">
        <v>46024.751388888886</v>
      </c>
      <c r="E519">
        <v>299</v>
      </c>
      <c r="F519" t="s">
        <v>78</v>
      </c>
      <c r="G519" t="s">
        <v>79</v>
      </c>
      <c r="H519">
        <v>92</v>
      </c>
      <c r="I519" t="str">
        <f>IFERROR(VLOOKUP($C519,Merchants!$A$2:$D$41,2,FALSE),"Merchant not found")</f>
        <v>Merchant_017</v>
      </c>
      <c r="J519" t="str">
        <f>IFERROR(VLOOKUP($C519,Merchants!$A$2:$D$41,3,FALSE),"Merchant not found")</f>
        <v>grocery</v>
      </c>
      <c r="K519" t="str">
        <f>IFERROR(VLOOKUP($C519,Merchants!$A$2:$D$41,4,FALSE),"Merchant not found")</f>
        <v>North</v>
      </c>
      <c r="L519" s="3">
        <f>IFERROR(HLOOKUP(F519,Fee_Lookup!$B$1:$E$2,2,FALSE),"Method not found")</f>
        <v>1.2E-2</v>
      </c>
      <c r="M519" s="6">
        <f t="shared" si="16"/>
        <v>3.5880000000000001</v>
      </c>
      <c r="N519" s="8">
        <f t="shared" si="17"/>
        <v>46024</v>
      </c>
    </row>
    <row r="520" spans="1:14" x14ac:dyDescent="0.4">
      <c r="A520" t="s">
        <v>587</v>
      </c>
      <c r="B520">
        <v>314</v>
      </c>
      <c r="C520">
        <v>34</v>
      </c>
      <c r="D520" s="2">
        <v>46024.752083333333</v>
      </c>
      <c r="E520">
        <v>499</v>
      </c>
      <c r="F520" t="s">
        <v>78</v>
      </c>
      <c r="G520" t="s">
        <v>64</v>
      </c>
      <c r="H520">
        <v>74</v>
      </c>
      <c r="I520" t="str">
        <f>IFERROR(VLOOKUP($C520,Merchants!$A$2:$D$41,2,FALSE),"Merchant not found")</f>
        <v>Merchant_034</v>
      </c>
      <c r="J520" t="str">
        <f>IFERROR(VLOOKUP($C520,Merchants!$A$2:$D$41,3,FALSE),"Merchant not found")</f>
        <v>travel</v>
      </c>
      <c r="K520" t="str">
        <f>IFERROR(VLOOKUP($C520,Merchants!$A$2:$D$41,4,FALSE),"Merchant not found")</f>
        <v>South</v>
      </c>
      <c r="L520" s="3">
        <f>IFERROR(HLOOKUP(F520,Fee_Lookup!$B$1:$E$2,2,FALSE),"Method not found")</f>
        <v>1.2E-2</v>
      </c>
      <c r="M520" s="6">
        <f t="shared" si="16"/>
        <v>5.9880000000000004</v>
      </c>
      <c r="N520" s="8">
        <f t="shared" si="17"/>
        <v>46024</v>
      </c>
    </row>
    <row r="521" spans="1:14" x14ac:dyDescent="0.4">
      <c r="A521" t="s">
        <v>588</v>
      </c>
      <c r="B521">
        <v>229</v>
      </c>
      <c r="C521">
        <v>30</v>
      </c>
      <c r="D521" s="2">
        <v>46034.5</v>
      </c>
      <c r="E521">
        <v>499</v>
      </c>
      <c r="F521" t="s">
        <v>78</v>
      </c>
      <c r="G521" t="s">
        <v>79</v>
      </c>
      <c r="H521">
        <v>92</v>
      </c>
      <c r="I521" t="str">
        <f>IFERROR(VLOOKUP($C521,Merchants!$A$2:$D$41,2,FALSE),"Merchant not found")</f>
        <v>Merchant_030</v>
      </c>
      <c r="J521" t="str">
        <f>IFERROR(VLOOKUP($C521,Merchants!$A$2:$D$41,3,FALSE),"Merchant not found")</f>
        <v>travel</v>
      </c>
      <c r="K521" t="str">
        <f>IFERROR(VLOOKUP($C521,Merchants!$A$2:$D$41,4,FALSE),"Merchant not found")</f>
        <v>West</v>
      </c>
      <c r="L521" s="3">
        <f>IFERROR(HLOOKUP(F521,Fee_Lookup!$B$1:$E$2,2,FALSE),"Method not found")</f>
        <v>1.2E-2</v>
      </c>
      <c r="M521" s="6">
        <f t="shared" si="16"/>
        <v>5.9880000000000004</v>
      </c>
      <c r="N521" s="8">
        <f t="shared" si="17"/>
        <v>46034</v>
      </c>
    </row>
    <row r="522" spans="1:14" x14ac:dyDescent="0.4">
      <c r="A522" t="s">
        <v>589</v>
      </c>
      <c r="B522">
        <v>229</v>
      </c>
      <c r="C522">
        <v>10</v>
      </c>
      <c r="D522" s="2">
        <v>46034.500694444447</v>
      </c>
      <c r="E522">
        <v>399</v>
      </c>
      <c r="F522" t="s">
        <v>78</v>
      </c>
      <c r="G522" t="s">
        <v>79</v>
      </c>
      <c r="H522">
        <v>61</v>
      </c>
      <c r="I522" t="str">
        <f>IFERROR(VLOOKUP($C522,Merchants!$A$2:$D$41,2,FALSE),"Merchant not found")</f>
        <v>Merchant_010</v>
      </c>
      <c r="J522" t="str">
        <f>IFERROR(VLOOKUP($C522,Merchants!$A$2:$D$41,3,FALSE),"Merchant not found")</f>
        <v>grocery</v>
      </c>
      <c r="K522" t="str">
        <f>IFERROR(VLOOKUP($C522,Merchants!$A$2:$D$41,4,FALSE),"Merchant not found")</f>
        <v>West</v>
      </c>
      <c r="L522" s="3">
        <f>IFERROR(HLOOKUP(F522,Fee_Lookup!$B$1:$E$2,2,FALSE),"Method not found")</f>
        <v>1.2E-2</v>
      </c>
      <c r="M522" s="6">
        <f t="shared" si="16"/>
        <v>4.7880000000000003</v>
      </c>
      <c r="N522" s="8">
        <f t="shared" si="17"/>
        <v>46034</v>
      </c>
    </row>
    <row r="523" spans="1:14" x14ac:dyDescent="0.4">
      <c r="A523" t="s">
        <v>590</v>
      </c>
      <c r="B523">
        <v>229</v>
      </c>
      <c r="C523">
        <v>31</v>
      </c>
      <c r="D523" s="2">
        <v>46034.501388888886</v>
      </c>
      <c r="E523">
        <v>299</v>
      </c>
      <c r="F523" t="s">
        <v>78</v>
      </c>
      <c r="G523" t="s">
        <v>79</v>
      </c>
      <c r="H523">
        <v>78</v>
      </c>
      <c r="I523" t="str">
        <f>IFERROR(VLOOKUP($C523,Merchants!$A$2:$D$41,2,FALSE),"Merchant not found")</f>
        <v>Merchant_031</v>
      </c>
      <c r="J523" t="str">
        <f>IFERROR(VLOOKUP($C523,Merchants!$A$2:$D$41,3,FALSE),"Merchant not found")</f>
        <v>bill_payment</v>
      </c>
      <c r="K523" t="str">
        <f>IFERROR(VLOOKUP($C523,Merchants!$A$2:$D$41,4,FALSE),"Merchant not found")</f>
        <v>East</v>
      </c>
      <c r="L523" s="3">
        <f>IFERROR(HLOOKUP(F523,Fee_Lookup!$B$1:$E$2,2,FALSE),"Method not found")</f>
        <v>1.2E-2</v>
      </c>
      <c r="M523" s="6">
        <f t="shared" si="16"/>
        <v>3.5880000000000001</v>
      </c>
      <c r="N523" s="8">
        <f t="shared" si="17"/>
        <v>46034</v>
      </c>
    </row>
    <row r="524" spans="1:14" x14ac:dyDescent="0.4">
      <c r="A524" t="s">
        <v>591</v>
      </c>
      <c r="B524">
        <v>229</v>
      </c>
      <c r="C524">
        <v>27</v>
      </c>
      <c r="D524" s="2">
        <v>46034.502083333333</v>
      </c>
      <c r="E524">
        <v>299</v>
      </c>
      <c r="F524" t="s">
        <v>78</v>
      </c>
      <c r="G524" t="s">
        <v>64</v>
      </c>
      <c r="H524">
        <v>67</v>
      </c>
      <c r="I524" t="str">
        <f>IFERROR(VLOOKUP($C524,Merchants!$A$2:$D$41,2,FALSE),"Merchant not found")</f>
        <v>Merchant_027</v>
      </c>
      <c r="J524" t="str">
        <f>IFERROR(VLOOKUP($C524,Merchants!$A$2:$D$41,3,FALSE),"Merchant not found")</f>
        <v>ecommerce</v>
      </c>
      <c r="K524" t="str">
        <f>IFERROR(VLOOKUP($C524,Merchants!$A$2:$D$41,4,FALSE),"Merchant not found")</f>
        <v>North</v>
      </c>
      <c r="L524" s="3">
        <f>IFERROR(HLOOKUP(F524,Fee_Lookup!$B$1:$E$2,2,FALSE),"Method not found")</f>
        <v>1.2E-2</v>
      </c>
      <c r="M524" s="6">
        <f t="shared" si="16"/>
        <v>3.5880000000000001</v>
      </c>
      <c r="N524" s="8">
        <f t="shared" si="17"/>
        <v>46034</v>
      </c>
    </row>
    <row r="525" spans="1:14" x14ac:dyDescent="0.4">
      <c r="A525" t="s">
        <v>592</v>
      </c>
      <c r="B525">
        <v>73</v>
      </c>
      <c r="C525">
        <v>22</v>
      </c>
      <c r="D525" s="2">
        <v>46034.375</v>
      </c>
      <c r="E525">
        <v>399</v>
      </c>
      <c r="F525" t="s">
        <v>78</v>
      </c>
      <c r="G525" t="s">
        <v>79</v>
      </c>
      <c r="H525">
        <v>73</v>
      </c>
      <c r="I525" t="str">
        <f>IFERROR(VLOOKUP($C525,Merchants!$A$2:$D$41,2,FALSE),"Merchant not found")</f>
        <v>Merchant_022</v>
      </c>
      <c r="J525" t="str">
        <f>IFERROR(VLOOKUP($C525,Merchants!$A$2:$D$41,3,FALSE),"Merchant not found")</f>
        <v>travel</v>
      </c>
      <c r="K525" t="str">
        <f>IFERROR(VLOOKUP($C525,Merchants!$A$2:$D$41,4,FALSE),"Merchant not found")</f>
        <v>South</v>
      </c>
      <c r="L525" s="3">
        <f>IFERROR(HLOOKUP(F525,Fee_Lookup!$B$1:$E$2,2,FALSE),"Method not found")</f>
        <v>1.2E-2</v>
      </c>
      <c r="M525" s="6">
        <f t="shared" si="16"/>
        <v>4.7880000000000003</v>
      </c>
      <c r="N525" s="8">
        <f t="shared" si="17"/>
        <v>46034</v>
      </c>
    </row>
    <row r="526" spans="1:14" x14ac:dyDescent="0.4">
      <c r="A526" t="s">
        <v>593</v>
      </c>
      <c r="B526">
        <v>73</v>
      </c>
      <c r="C526">
        <v>34</v>
      </c>
      <c r="D526" s="2">
        <v>46034.375694444447</v>
      </c>
      <c r="E526">
        <v>399</v>
      </c>
      <c r="F526" t="s">
        <v>78</v>
      </c>
      <c r="G526" t="s">
        <v>79</v>
      </c>
      <c r="H526">
        <v>82</v>
      </c>
      <c r="I526" t="str">
        <f>IFERROR(VLOOKUP($C526,Merchants!$A$2:$D$41,2,FALSE),"Merchant not found")</f>
        <v>Merchant_034</v>
      </c>
      <c r="J526" t="str">
        <f>IFERROR(VLOOKUP($C526,Merchants!$A$2:$D$41,3,FALSE),"Merchant not found")</f>
        <v>travel</v>
      </c>
      <c r="K526" t="str">
        <f>IFERROR(VLOOKUP($C526,Merchants!$A$2:$D$41,4,FALSE),"Merchant not found")</f>
        <v>South</v>
      </c>
      <c r="L526" s="3">
        <f>IFERROR(HLOOKUP(F526,Fee_Lookup!$B$1:$E$2,2,FALSE),"Method not found")</f>
        <v>1.2E-2</v>
      </c>
      <c r="M526" s="6">
        <f t="shared" si="16"/>
        <v>4.7880000000000003</v>
      </c>
      <c r="N526" s="8">
        <f t="shared" si="17"/>
        <v>46034</v>
      </c>
    </row>
    <row r="527" spans="1:14" x14ac:dyDescent="0.4">
      <c r="A527" t="s">
        <v>594</v>
      </c>
      <c r="B527">
        <v>73</v>
      </c>
      <c r="C527">
        <v>31</v>
      </c>
      <c r="D527" s="2">
        <v>46034.376388888886</v>
      </c>
      <c r="E527">
        <v>299</v>
      </c>
      <c r="F527" t="s">
        <v>78</v>
      </c>
      <c r="G527" t="s">
        <v>79</v>
      </c>
      <c r="H527">
        <v>88</v>
      </c>
      <c r="I527" t="str">
        <f>IFERROR(VLOOKUP($C527,Merchants!$A$2:$D$41,2,FALSE),"Merchant not found")</f>
        <v>Merchant_031</v>
      </c>
      <c r="J527" t="str">
        <f>IFERROR(VLOOKUP($C527,Merchants!$A$2:$D$41,3,FALSE),"Merchant not found")</f>
        <v>bill_payment</v>
      </c>
      <c r="K527" t="str">
        <f>IFERROR(VLOOKUP($C527,Merchants!$A$2:$D$41,4,FALSE),"Merchant not found")</f>
        <v>East</v>
      </c>
      <c r="L527" s="3">
        <f>IFERROR(HLOOKUP(F527,Fee_Lookup!$B$1:$E$2,2,FALSE),"Method not found")</f>
        <v>1.2E-2</v>
      </c>
      <c r="M527" s="6">
        <f t="shared" si="16"/>
        <v>3.5880000000000001</v>
      </c>
      <c r="N527" s="8">
        <f t="shared" si="17"/>
        <v>46034</v>
      </c>
    </row>
    <row r="528" spans="1:14" x14ac:dyDescent="0.4">
      <c r="A528" t="s">
        <v>595</v>
      </c>
      <c r="B528">
        <v>73</v>
      </c>
      <c r="C528">
        <v>29</v>
      </c>
      <c r="D528" s="2">
        <v>46034.377083333333</v>
      </c>
      <c r="E528">
        <v>399</v>
      </c>
      <c r="F528" t="s">
        <v>78</v>
      </c>
      <c r="G528" t="s">
        <v>64</v>
      </c>
      <c r="H528">
        <v>64</v>
      </c>
      <c r="I528" t="str">
        <f>IFERROR(VLOOKUP($C528,Merchants!$A$2:$D$41,2,FALSE),"Merchant not found")</f>
        <v>Merchant_029</v>
      </c>
      <c r="J528" t="str">
        <f>IFERROR(VLOOKUP($C528,Merchants!$A$2:$D$41,3,FALSE),"Merchant not found")</f>
        <v>ecommerce</v>
      </c>
      <c r="K528" t="str">
        <f>IFERROR(VLOOKUP($C528,Merchants!$A$2:$D$41,4,FALSE),"Merchant not found")</f>
        <v>North</v>
      </c>
      <c r="L528" s="3">
        <f>IFERROR(HLOOKUP(F528,Fee_Lookup!$B$1:$E$2,2,FALSE),"Method not found")</f>
        <v>1.2E-2</v>
      </c>
      <c r="M528" s="6">
        <f t="shared" si="16"/>
        <v>4.7880000000000003</v>
      </c>
      <c r="N528" s="8">
        <f t="shared" si="17"/>
        <v>46034</v>
      </c>
    </row>
    <row r="529" spans="1:14" x14ac:dyDescent="0.4">
      <c r="A529" t="s">
        <v>596</v>
      </c>
      <c r="B529">
        <v>154</v>
      </c>
      <c r="C529">
        <v>8</v>
      </c>
      <c r="D529" s="2">
        <v>46024.916666666664</v>
      </c>
      <c r="E529">
        <v>299</v>
      </c>
      <c r="F529" t="s">
        <v>78</v>
      </c>
      <c r="G529" t="s">
        <v>79</v>
      </c>
      <c r="H529">
        <v>81</v>
      </c>
      <c r="I529" t="str">
        <f>IFERROR(VLOOKUP($C529,Merchants!$A$2:$D$41,2,FALSE),"Merchant not found")</f>
        <v>Merchant_008</v>
      </c>
      <c r="J529" t="str">
        <f>IFERROR(VLOOKUP($C529,Merchants!$A$2:$D$41,3,FALSE),"Merchant not found")</f>
        <v>food_delivery</v>
      </c>
      <c r="K529" t="str">
        <f>IFERROR(VLOOKUP($C529,Merchants!$A$2:$D$41,4,FALSE),"Merchant not found")</f>
        <v>North</v>
      </c>
      <c r="L529" s="3">
        <f>IFERROR(HLOOKUP(F529,Fee_Lookup!$B$1:$E$2,2,FALSE),"Method not found")</f>
        <v>1.2E-2</v>
      </c>
      <c r="M529" s="6">
        <f t="shared" si="16"/>
        <v>3.5880000000000001</v>
      </c>
      <c r="N529" s="8">
        <f t="shared" si="17"/>
        <v>46024</v>
      </c>
    </row>
    <row r="530" spans="1:14" x14ac:dyDescent="0.4">
      <c r="A530" t="s">
        <v>597</v>
      </c>
      <c r="B530">
        <v>154</v>
      </c>
      <c r="C530">
        <v>7</v>
      </c>
      <c r="D530" s="2">
        <v>46024.917361111111</v>
      </c>
      <c r="E530">
        <v>499</v>
      </c>
      <c r="F530" t="s">
        <v>78</v>
      </c>
      <c r="G530" t="s">
        <v>79</v>
      </c>
      <c r="H530">
        <v>70</v>
      </c>
      <c r="I530" t="str">
        <f>IFERROR(VLOOKUP($C530,Merchants!$A$2:$D$41,2,FALSE),"Merchant not found")</f>
        <v>Merchant_007</v>
      </c>
      <c r="J530" t="str">
        <f>IFERROR(VLOOKUP($C530,Merchants!$A$2:$D$41,3,FALSE),"Merchant not found")</f>
        <v>food_delivery</v>
      </c>
      <c r="K530" t="str">
        <f>IFERROR(VLOOKUP($C530,Merchants!$A$2:$D$41,4,FALSE),"Merchant not found")</f>
        <v>East</v>
      </c>
      <c r="L530" s="3">
        <f>IFERROR(HLOOKUP(F530,Fee_Lookup!$B$1:$E$2,2,FALSE),"Method not found")</f>
        <v>1.2E-2</v>
      </c>
      <c r="M530" s="6">
        <f t="shared" si="16"/>
        <v>5.9880000000000004</v>
      </c>
      <c r="N530" s="8">
        <f t="shared" si="17"/>
        <v>46024</v>
      </c>
    </row>
    <row r="531" spans="1:14" x14ac:dyDescent="0.4">
      <c r="A531" t="s">
        <v>598</v>
      </c>
      <c r="B531">
        <v>154</v>
      </c>
      <c r="C531">
        <v>16</v>
      </c>
      <c r="D531" s="2">
        <v>46024.918055555558</v>
      </c>
      <c r="E531">
        <v>499</v>
      </c>
      <c r="F531" t="s">
        <v>78</v>
      </c>
      <c r="G531" t="s">
        <v>79</v>
      </c>
      <c r="H531">
        <v>71</v>
      </c>
      <c r="I531" t="str">
        <f>IFERROR(VLOOKUP($C531,Merchants!$A$2:$D$41,2,FALSE),"Merchant not found")</f>
        <v>Merchant_016</v>
      </c>
      <c r="J531" t="str">
        <f>IFERROR(VLOOKUP($C531,Merchants!$A$2:$D$41,3,FALSE),"Merchant not found")</f>
        <v>bill_payment</v>
      </c>
      <c r="K531" t="str">
        <f>IFERROR(VLOOKUP($C531,Merchants!$A$2:$D$41,4,FALSE),"Merchant not found")</f>
        <v>West</v>
      </c>
      <c r="L531" s="3">
        <f>IFERROR(HLOOKUP(F531,Fee_Lookup!$B$1:$E$2,2,FALSE),"Method not found")</f>
        <v>1.2E-2</v>
      </c>
      <c r="M531" s="6">
        <f t="shared" si="16"/>
        <v>5.9880000000000004</v>
      </c>
      <c r="N531" s="8">
        <f t="shared" si="17"/>
        <v>46024</v>
      </c>
    </row>
    <row r="532" spans="1:14" x14ac:dyDescent="0.4">
      <c r="A532" t="s">
        <v>599</v>
      </c>
      <c r="B532">
        <v>154</v>
      </c>
      <c r="C532">
        <v>36</v>
      </c>
      <c r="D532" s="2">
        <v>46024.918749999997</v>
      </c>
      <c r="E532">
        <v>299</v>
      </c>
      <c r="F532" t="s">
        <v>78</v>
      </c>
      <c r="G532" t="s">
        <v>64</v>
      </c>
      <c r="H532">
        <v>81</v>
      </c>
      <c r="I532" t="str">
        <f>IFERROR(VLOOKUP($C532,Merchants!$A$2:$D$41,2,FALSE),"Merchant not found")</f>
        <v>Merchant_036</v>
      </c>
      <c r="J532" t="str">
        <f>IFERROR(VLOOKUP($C532,Merchants!$A$2:$D$41,3,FALSE),"Merchant not found")</f>
        <v>entertainment</v>
      </c>
      <c r="K532" t="str">
        <f>IFERROR(VLOOKUP($C532,Merchants!$A$2:$D$41,4,FALSE),"Merchant not found")</f>
        <v>East</v>
      </c>
      <c r="L532" s="3">
        <f>IFERROR(HLOOKUP(F532,Fee_Lookup!$B$1:$E$2,2,FALSE),"Method not found")</f>
        <v>1.2E-2</v>
      </c>
      <c r="M532" s="6">
        <f t="shared" si="16"/>
        <v>3.5880000000000001</v>
      </c>
      <c r="N532" s="8">
        <f t="shared" si="17"/>
        <v>46024</v>
      </c>
    </row>
    <row r="533" spans="1:14" x14ac:dyDescent="0.4">
      <c r="A533" t="s">
        <v>600</v>
      </c>
      <c r="B533">
        <v>287</v>
      </c>
      <c r="C533">
        <v>15</v>
      </c>
      <c r="D533" s="2">
        <v>46036.583333333336</v>
      </c>
      <c r="E533">
        <v>399</v>
      </c>
      <c r="F533" t="s">
        <v>78</v>
      </c>
      <c r="G533" t="s">
        <v>79</v>
      </c>
      <c r="H533">
        <v>71</v>
      </c>
      <c r="I533" t="str">
        <f>IFERROR(VLOOKUP($C533,Merchants!$A$2:$D$41,2,FALSE),"Merchant not found")</f>
        <v>Merchant_015</v>
      </c>
      <c r="J533" t="str">
        <f>IFERROR(VLOOKUP($C533,Merchants!$A$2:$D$41,3,FALSE),"Merchant not found")</f>
        <v>travel</v>
      </c>
      <c r="K533" t="str">
        <f>IFERROR(VLOOKUP($C533,Merchants!$A$2:$D$41,4,FALSE),"Merchant not found")</f>
        <v>North</v>
      </c>
      <c r="L533" s="3">
        <f>IFERROR(HLOOKUP(F533,Fee_Lookup!$B$1:$E$2,2,FALSE),"Method not found")</f>
        <v>1.2E-2</v>
      </c>
      <c r="M533" s="6">
        <f t="shared" si="16"/>
        <v>4.7880000000000003</v>
      </c>
      <c r="N533" s="8">
        <f t="shared" si="17"/>
        <v>46036</v>
      </c>
    </row>
    <row r="534" spans="1:14" x14ac:dyDescent="0.4">
      <c r="A534" t="s">
        <v>601</v>
      </c>
      <c r="B534">
        <v>287</v>
      </c>
      <c r="C534">
        <v>12</v>
      </c>
      <c r="D534" s="2">
        <v>46036.584027777775</v>
      </c>
      <c r="E534">
        <v>499</v>
      </c>
      <c r="F534" t="s">
        <v>78</v>
      </c>
      <c r="G534" t="s">
        <v>79</v>
      </c>
      <c r="H534">
        <v>87</v>
      </c>
      <c r="I534" t="str">
        <f>IFERROR(VLOOKUP($C534,Merchants!$A$2:$D$41,2,FALSE),"Merchant not found")</f>
        <v>Merchant_012</v>
      </c>
      <c r="J534" t="str">
        <f>IFERROR(VLOOKUP($C534,Merchants!$A$2:$D$41,3,FALSE),"Merchant not found")</f>
        <v>ecommerce</v>
      </c>
      <c r="K534" t="str">
        <f>IFERROR(VLOOKUP($C534,Merchants!$A$2:$D$41,4,FALSE),"Merchant not found")</f>
        <v>East</v>
      </c>
      <c r="L534" s="3">
        <f>IFERROR(HLOOKUP(F534,Fee_Lookup!$B$1:$E$2,2,FALSE),"Method not found")</f>
        <v>1.2E-2</v>
      </c>
      <c r="M534" s="6">
        <f t="shared" si="16"/>
        <v>5.9880000000000004</v>
      </c>
      <c r="N534" s="8">
        <f t="shared" si="17"/>
        <v>46036</v>
      </c>
    </row>
    <row r="535" spans="1:14" x14ac:dyDescent="0.4">
      <c r="A535" t="s">
        <v>602</v>
      </c>
      <c r="B535">
        <v>287</v>
      </c>
      <c r="C535">
        <v>26</v>
      </c>
      <c r="D535" s="2">
        <v>46036.584722222222</v>
      </c>
      <c r="E535">
        <v>299</v>
      </c>
      <c r="F535" t="s">
        <v>78</v>
      </c>
      <c r="G535" t="s">
        <v>79</v>
      </c>
      <c r="H535">
        <v>72</v>
      </c>
      <c r="I535" t="str">
        <f>IFERROR(VLOOKUP($C535,Merchants!$A$2:$D$41,2,FALSE),"Merchant not found")</f>
        <v>Merchant_026</v>
      </c>
      <c r="J535" t="str">
        <f>IFERROR(VLOOKUP($C535,Merchants!$A$2:$D$41,3,FALSE),"Merchant not found")</f>
        <v>food_delivery</v>
      </c>
      <c r="K535" t="str">
        <f>IFERROR(VLOOKUP($C535,Merchants!$A$2:$D$41,4,FALSE),"Merchant not found")</f>
        <v>East</v>
      </c>
      <c r="L535" s="3">
        <f>IFERROR(HLOOKUP(F535,Fee_Lookup!$B$1:$E$2,2,FALSE),"Method not found")</f>
        <v>1.2E-2</v>
      </c>
      <c r="M535" s="6">
        <f t="shared" si="16"/>
        <v>3.5880000000000001</v>
      </c>
      <c r="N535" s="8">
        <f t="shared" si="17"/>
        <v>46036</v>
      </c>
    </row>
    <row r="536" spans="1:14" x14ac:dyDescent="0.4">
      <c r="A536" t="s">
        <v>603</v>
      </c>
      <c r="B536">
        <v>287</v>
      </c>
      <c r="C536">
        <v>29</v>
      </c>
      <c r="D536" s="2">
        <v>46036.585416666669</v>
      </c>
      <c r="E536">
        <v>499</v>
      </c>
      <c r="F536" t="s">
        <v>78</v>
      </c>
      <c r="G536" t="s">
        <v>64</v>
      </c>
      <c r="H536">
        <v>87</v>
      </c>
      <c r="I536" t="str">
        <f>IFERROR(VLOOKUP($C536,Merchants!$A$2:$D$41,2,FALSE),"Merchant not found")</f>
        <v>Merchant_029</v>
      </c>
      <c r="J536" t="str">
        <f>IFERROR(VLOOKUP($C536,Merchants!$A$2:$D$41,3,FALSE),"Merchant not found")</f>
        <v>ecommerce</v>
      </c>
      <c r="K536" t="str">
        <f>IFERROR(VLOOKUP($C536,Merchants!$A$2:$D$41,4,FALSE),"Merchant not found")</f>
        <v>North</v>
      </c>
      <c r="L536" s="3">
        <f>IFERROR(HLOOKUP(F536,Fee_Lookup!$B$1:$E$2,2,FALSE),"Method not found")</f>
        <v>1.2E-2</v>
      </c>
      <c r="M536" s="6">
        <f t="shared" si="16"/>
        <v>5.9880000000000004</v>
      </c>
      <c r="N536" s="8">
        <f t="shared" si="17"/>
        <v>46036</v>
      </c>
    </row>
    <row r="537" spans="1:14" x14ac:dyDescent="0.4">
      <c r="A537" t="s">
        <v>604</v>
      </c>
      <c r="B537">
        <v>200</v>
      </c>
      <c r="C537">
        <v>14</v>
      </c>
      <c r="D537" s="2">
        <v>46023.916666666664</v>
      </c>
      <c r="E537">
        <v>299</v>
      </c>
      <c r="F537" t="s">
        <v>78</v>
      </c>
      <c r="G537" t="s">
        <v>79</v>
      </c>
      <c r="H537">
        <v>77</v>
      </c>
      <c r="I537" t="str">
        <f>IFERROR(VLOOKUP($C537,Merchants!$A$2:$D$41,2,FALSE),"Merchant not found")</f>
        <v>Merchant_014</v>
      </c>
      <c r="J537" t="str">
        <f>IFERROR(VLOOKUP($C537,Merchants!$A$2:$D$41,3,FALSE),"Merchant not found")</f>
        <v>grocery</v>
      </c>
      <c r="K537" t="str">
        <f>IFERROR(VLOOKUP($C537,Merchants!$A$2:$D$41,4,FALSE),"Merchant not found")</f>
        <v>East</v>
      </c>
      <c r="L537" s="3">
        <f>IFERROR(HLOOKUP(F537,Fee_Lookup!$B$1:$E$2,2,FALSE),"Method not found")</f>
        <v>1.2E-2</v>
      </c>
      <c r="M537" s="6">
        <f t="shared" si="16"/>
        <v>3.5880000000000001</v>
      </c>
      <c r="N537" s="8">
        <f t="shared" si="17"/>
        <v>46023</v>
      </c>
    </row>
    <row r="538" spans="1:14" x14ac:dyDescent="0.4">
      <c r="A538" t="s">
        <v>605</v>
      </c>
      <c r="B538">
        <v>200</v>
      </c>
      <c r="C538">
        <v>5</v>
      </c>
      <c r="D538" s="2">
        <v>46023.917361111111</v>
      </c>
      <c r="E538">
        <v>499</v>
      </c>
      <c r="F538" t="s">
        <v>78</v>
      </c>
      <c r="G538" t="s">
        <v>79</v>
      </c>
      <c r="H538">
        <v>66</v>
      </c>
      <c r="I538" t="str">
        <f>IFERROR(VLOOKUP($C538,Merchants!$A$2:$D$41,2,FALSE),"Merchant not found")</f>
        <v>Merchant_005</v>
      </c>
      <c r="J538" t="str">
        <f>IFERROR(VLOOKUP($C538,Merchants!$A$2:$D$41,3,FALSE),"Merchant not found")</f>
        <v>recharge</v>
      </c>
      <c r="K538" t="str">
        <f>IFERROR(VLOOKUP($C538,Merchants!$A$2:$D$41,4,FALSE),"Merchant not found")</f>
        <v>South</v>
      </c>
      <c r="L538" s="3">
        <f>IFERROR(HLOOKUP(F538,Fee_Lookup!$B$1:$E$2,2,FALSE),"Method not found")</f>
        <v>1.2E-2</v>
      </c>
      <c r="M538" s="6">
        <f t="shared" si="16"/>
        <v>5.9880000000000004</v>
      </c>
      <c r="N538" s="8">
        <f t="shared" si="17"/>
        <v>46023</v>
      </c>
    </row>
    <row r="539" spans="1:14" x14ac:dyDescent="0.4">
      <c r="A539" t="s">
        <v>606</v>
      </c>
      <c r="B539">
        <v>200</v>
      </c>
      <c r="C539">
        <v>35</v>
      </c>
      <c r="D539" s="2">
        <v>46023.918055555558</v>
      </c>
      <c r="E539">
        <v>299</v>
      </c>
      <c r="F539" t="s">
        <v>78</v>
      </c>
      <c r="G539" t="s">
        <v>79</v>
      </c>
      <c r="H539">
        <v>83</v>
      </c>
      <c r="I539" t="str">
        <f>IFERROR(VLOOKUP($C539,Merchants!$A$2:$D$41,2,FALSE),"Merchant not found")</f>
        <v>Merchant_035</v>
      </c>
      <c r="J539" t="str">
        <f>IFERROR(VLOOKUP($C539,Merchants!$A$2:$D$41,3,FALSE),"Merchant not found")</f>
        <v>recharge</v>
      </c>
      <c r="K539" t="str">
        <f>IFERROR(VLOOKUP($C539,Merchants!$A$2:$D$41,4,FALSE),"Merchant not found")</f>
        <v>East</v>
      </c>
      <c r="L539" s="3">
        <f>IFERROR(HLOOKUP(F539,Fee_Lookup!$B$1:$E$2,2,FALSE),"Method not found")</f>
        <v>1.2E-2</v>
      </c>
      <c r="M539" s="6">
        <f t="shared" si="16"/>
        <v>3.5880000000000001</v>
      </c>
      <c r="N539" s="8">
        <f t="shared" si="17"/>
        <v>46023</v>
      </c>
    </row>
    <row r="540" spans="1:14" x14ac:dyDescent="0.4">
      <c r="A540" t="s">
        <v>607</v>
      </c>
      <c r="B540">
        <v>200</v>
      </c>
      <c r="C540">
        <v>21</v>
      </c>
      <c r="D540" s="2">
        <v>46023.918749999997</v>
      </c>
      <c r="E540">
        <v>299</v>
      </c>
      <c r="F540" t="s">
        <v>78</v>
      </c>
      <c r="G540" t="s">
        <v>64</v>
      </c>
      <c r="H540">
        <v>89</v>
      </c>
      <c r="I540" t="str">
        <f>IFERROR(VLOOKUP($C540,Merchants!$A$2:$D$41,2,FALSE),"Merchant not found")</f>
        <v>Merchant_021</v>
      </c>
      <c r="J540" t="str">
        <f>IFERROR(VLOOKUP($C540,Merchants!$A$2:$D$41,3,FALSE),"Merchant not found")</f>
        <v>food_delivery</v>
      </c>
      <c r="K540" t="str">
        <f>IFERROR(VLOOKUP($C540,Merchants!$A$2:$D$41,4,FALSE),"Merchant not found")</f>
        <v>East</v>
      </c>
      <c r="L540" s="3">
        <f>IFERROR(HLOOKUP(F540,Fee_Lookup!$B$1:$E$2,2,FALSE),"Method not found")</f>
        <v>1.2E-2</v>
      </c>
      <c r="M540" s="6">
        <f t="shared" si="16"/>
        <v>3.5880000000000001</v>
      </c>
      <c r="N540" s="8">
        <f t="shared" si="17"/>
        <v>46023</v>
      </c>
    </row>
    <row r="541" spans="1:14" x14ac:dyDescent="0.4">
      <c r="A541" t="s">
        <v>608</v>
      </c>
      <c r="B541">
        <v>59</v>
      </c>
      <c r="C541">
        <v>32</v>
      </c>
      <c r="D541" s="2">
        <v>46031.875</v>
      </c>
      <c r="E541">
        <v>499</v>
      </c>
      <c r="F541" t="s">
        <v>78</v>
      </c>
      <c r="G541" t="s">
        <v>79</v>
      </c>
      <c r="H541">
        <v>80</v>
      </c>
      <c r="I541" t="str">
        <f>IFERROR(VLOOKUP($C541,Merchants!$A$2:$D$41,2,FALSE),"Merchant not found")</f>
        <v>Merchant_032</v>
      </c>
      <c r="J541" t="str">
        <f>IFERROR(VLOOKUP($C541,Merchants!$A$2:$D$41,3,FALSE),"Merchant not found")</f>
        <v>food_delivery</v>
      </c>
      <c r="K541" t="str">
        <f>IFERROR(VLOOKUP($C541,Merchants!$A$2:$D$41,4,FALSE),"Merchant not found")</f>
        <v>West</v>
      </c>
      <c r="L541" s="3">
        <f>IFERROR(HLOOKUP(F541,Fee_Lookup!$B$1:$E$2,2,FALSE),"Method not found")</f>
        <v>1.2E-2</v>
      </c>
      <c r="M541" s="6">
        <f t="shared" si="16"/>
        <v>5.9880000000000004</v>
      </c>
      <c r="N541" s="8">
        <f t="shared" si="17"/>
        <v>46031</v>
      </c>
    </row>
    <row r="542" spans="1:14" x14ac:dyDescent="0.4">
      <c r="A542" t="s">
        <v>609</v>
      </c>
      <c r="B542">
        <v>59</v>
      </c>
      <c r="C542">
        <v>39</v>
      </c>
      <c r="D542" s="2">
        <v>46031.875694444447</v>
      </c>
      <c r="E542">
        <v>399</v>
      </c>
      <c r="F542" t="s">
        <v>78</v>
      </c>
      <c r="G542" t="s">
        <v>79</v>
      </c>
      <c r="H542">
        <v>85</v>
      </c>
      <c r="I542" t="str">
        <f>IFERROR(VLOOKUP($C542,Merchants!$A$2:$D$41,2,FALSE),"Merchant not found")</f>
        <v>Merchant_039</v>
      </c>
      <c r="J542" t="str">
        <f>IFERROR(VLOOKUP($C542,Merchants!$A$2:$D$41,3,FALSE),"Merchant not found")</f>
        <v>entertainment</v>
      </c>
      <c r="K542" t="str">
        <f>IFERROR(VLOOKUP($C542,Merchants!$A$2:$D$41,4,FALSE),"Merchant not found")</f>
        <v>North</v>
      </c>
      <c r="L542" s="3">
        <f>IFERROR(HLOOKUP(F542,Fee_Lookup!$B$1:$E$2,2,FALSE),"Method not found")</f>
        <v>1.2E-2</v>
      </c>
      <c r="M542" s="6">
        <f t="shared" si="16"/>
        <v>4.7880000000000003</v>
      </c>
      <c r="N542" s="8">
        <f t="shared" si="17"/>
        <v>46031</v>
      </c>
    </row>
    <row r="543" spans="1:14" x14ac:dyDescent="0.4">
      <c r="A543" t="s">
        <v>610</v>
      </c>
      <c r="B543">
        <v>59</v>
      </c>
      <c r="C543">
        <v>38</v>
      </c>
      <c r="D543" s="2">
        <v>46031.876388888886</v>
      </c>
      <c r="E543">
        <v>299</v>
      </c>
      <c r="F543" t="s">
        <v>78</v>
      </c>
      <c r="G543" t="s">
        <v>79</v>
      </c>
      <c r="H543">
        <v>82</v>
      </c>
      <c r="I543" t="str">
        <f>IFERROR(VLOOKUP($C543,Merchants!$A$2:$D$41,2,FALSE),"Merchant not found")</f>
        <v>Merchant_038</v>
      </c>
      <c r="J543" t="str">
        <f>IFERROR(VLOOKUP($C543,Merchants!$A$2:$D$41,3,FALSE),"Merchant not found")</f>
        <v>grocery</v>
      </c>
      <c r="K543" t="str">
        <f>IFERROR(VLOOKUP($C543,Merchants!$A$2:$D$41,4,FALSE),"Merchant not found")</f>
        <v>East</v>
      </c>
      <c r="L543" s="3">
        <f>IFERROR(HLOOKUP(F543,Fee_Lookup!$B$1:$E$2,2,FALSE),"Method not found")</f>
        <v>1.2E-2</v>
      </c>
      <c r="M543" s="6">
        <f t="shared" si="16"/>
        <v>3.5880000000000001</v>
      </c>
      <c r="N543" s="8">
        <f t="shared" si="17"/>
        <v>46031</v>
      </c>
    </row>
    <row r="544" spans="1:14" x14ac:dyDescent="0.4">
      <c r="A544" t="s">
        <v>611</v>
      </c>
      <c r="B544">
        <v>59</v>
      </c>
      <c r="C544">
        <v>23</v>
      </c>
      <c r="D544" s="2">
        <v>46031.877083333333</v>
      </c>
      <c r="E544">
        <v>399</v>
      </c>
      <c r="F544" t="s">
        <v>78</v>
      </c>
      <c r="G544" t="s">
        <v>64</v>
      </c>
      <c r="H544">
        <v>71</v>
      </c>
      <c r="I544" t="str">
        <f>IFERROR(VLOOKUP($C544,Merchants!$A$2:$D$41,2,FALSE),"Merchant not found")</f>
        <v>Merchant_023</v>
      </c>
      <c r="J544" t="str">
        <f>IFERROR(VLOOKUP($C544,Merchants!$A$2:$D$41,3,FALSE),"Merchant not found")</f>
        <v>travel</v>
      </c>
      <c r="K544" t="str">
        <f>IFERROR(VLOOKUP($C544,Merchants!$A$2:$D$41,4,FALSE),"Merchant not found")</f>
        <v>North</v>
      </c>
      <c r="L544" s="3">
        <f>IFERROR(HLOOKUP(F544,Fee_Lookup!$B$1:$E$2,2,FALSE),"Method not found")</f>
        <v>1.2E-2</v>
      </c>
      <c r="M544" s="6">
        <f t="shared" si="16"/>
        <v>4.7880000000000003</v>
      </c>
      <c r="N544" s="8">
        <f t="shared" si="17"/>
        <v>46031</v>
      </c>
    </row>
    <row r="545" spans="1:14" x14ac:dyDescent="0.4">
      <c r="A545" t="s">
        <v>612</v>
      </c>
      <c r="B545">
        <v>345</v>
      </c>
      <c r="C545">
        <v>40</v>
      </c>
      <c r="D545" s="2">
        <v>46045.375</v>
      </c>
      <c r="E545">
        <v>499</v>
      </c>
      <c r="F545" t="s">
        <v>78</v>
      </c>
      <c r="G545" t="s">
        <v>79</v>
      </c>
      <c r="H545">
        <v>65</v>
      </c>
      <c r="I545" t="str">
        <f>IFERROR(VLOOKUP($C545,Merchants!$A$2:$D$41,2,FALSE),"Merchant not found")</f>
        <v>Merchant_040</v>
      </c>
      <c r="J545" t="str">
        <f>IFERROR(VLOOKUP($C545,Merchants!$A$2:$D$41,3,FALSE),"Merchant not found")</f>
        <v>entertainment</v>
      </c>
      <c r="K545" t="str">
        <f>IFERROR(VLOOKUP($C545,Merchants!$A$2:$D$41,4,FALSE),"Merchant not found")</f>
        <v>South</v>
      </c>
      <c r="L545" s="3">
        <f>IFERROR(HLOOKUP(F545,Fee_Lookup!$B$1:$E$2,2,FALSE),"Method not found")</f>
        <v>1.2E-2</v>
      </c>
      <c r="M545" s="6">
        <f t="shared" si="16"/>
        <v>5.9880000000000004</v>
      </c>
      <c r="N545" s="8">
        <f t="shared" si="17"/>
        <v>46045</v>
      </c>
    </row>
    <row r="546" spans="1:14" x14ac:dyDescent="0.4">
      <c r="A546" t="s">
        <v>613</v>
      </c>
      <c r="B546">
        <v>345</v>
      </c>
      <c r="C546">
        <v>9</v>
      </c>
      <c r="D546" s="2">
        <v>46045.375694444447</v>
      </c>
      <c r="E546">
        <v>399</v>
      </c>
      <c r="F546" t="s">
        <v>78</v>
      </c>
      <c r="G546" t="s">
        <v>79</v>
      </c>
      <c r="H546">
        <v>67</v>
      </c>
      <c r="I546" t="str">
        <f>IFERROR(VLOOKUP($C546,Merchants!$A$2:$D$41,2,FALSE),"Merchant not found")</f>
        <v>Merchant_009</v>
      </c>
      <c r="J546" t="str">
        <f>IFERROR(VLOOKUP($C546,Merchants!$A$2:$D$41,3,FALSE),"Merchant not found")</f>
        <v>ecommerce</v>
      </c>
      <c r="K546" t="str">
        <f>IFERROR(VLOOKUP($C546,Merchants!$A$2:$D$41,4,FALSE),"Merchant not found")</f>
        <v>North</v>
      </c>
      <c r="L546" s="3">
        <f>IFERROR(HLOOKUP(F546,Fee_Lookup!$B$1:$E$2,2,FALSE),"Method not found")</f>
        <v>1.2E-2</v>
      </c>
      <c r="M546" s="6">
        <f t="shared" si="16"/>
        <v>4.7880000000000003</v>
      </c>
      <c r="N546" s="8">
        <f t="shared" si="17"/>
        <v>46045</v>
      </c>
    </row>
    <row r="547" spans="1:14" x14ac:dyDescent="0.4">
      <c r="A547" t="s">
        <v>614</v>
      </c>
      <c r="B547">
        <v>345</v>
      </c>
      <c r="C547">
        <v>16</v>
      </c>
      <c r="D547" s="2">
        <v>46045.376388888886</v>
      </c>
      <c r="E547">
        <v>399</v>
      </c>
      <c r="F547" t="s">
        <v>78</v>
      </c>
      <c r="G547" t="s">
        <v>79</v>
      </c>
      <c r="H547">
        <v>67</v>
      </c>
      <c r="I547" t="str">
        <f>IFERROR(VLOOKUP($C547,Merchants!$A$2:$D$41,2,FALSE),"Merchant not found")</f>
        <v>Merchant_016</v>
      </c>
      <c r="J547" t="str">
        <f>IFERROR(VLOOKUP($C547,Merchants!$A$2:$D$41,3,FALSE),"Merchant not found")</f>
        <v>bill_payment</v>
      </c>
      <c r="K547" t="str">
        <f>IFERROR(VLOOKUP($C547,Merchants!$A$2:$D$41,4,FALSE),"Merchant not found")</f>
        <v>West</v>
      </c>
      <c r="L547" s="3">
        <f>IFERROR(HLOOKUP(F547,Fee_Lookup!$B$1:$E$2,2,FALSE),"Method not found")</f>
        <v>1.2E-2</v>
      </c>
      <c r="M547" s="6">
        <f t="shared" si="16"/>
        <v>4.7880000000000003</v>
      </c>
      <c r="N547" s="8">
        <f t="shared" si="17"/>
        <v>46045</v>
      </c>
    </row>
    <row r="548" spans="1:14" x14ac:dyDescent="0.4">
      <c r="A548" t="s">
        <v>615</v>
      </c>
      <c r="B548">
        <v>345</v>
      </c>
      <c r="C548">
        <v>12</v>
      </c>
      <c r="D548" s="2">
        <v>46045.377083333333</v>
      </c>
      <c r="E548">
        <v>399</v>
      </c>
      <c r="F548" t="s">
        <v>78</v>
      </c>
      <c r="G548" t="s">
        <v>64</v>
      </c>
      <c r="H548">
        <v>69</v>
      </c>
      <c r="I548" t="str">
        <f>IFERROR(VLOOKUP($C548,Merchants!$A$2:$D$41,2,FALSE),"Merchant not found")</f>
        <v>Merchant_012</v>
      </c>
      <c r="J548" t="str">
        <f>IFERROR(VLOOKUP($C548,Merchants!$A$2:$D$41,3,FALSE),"Merchant not found")</f>
        <v>ecommerce</v>
      </c>
      <c r="K548" t="str">
        <f>IFERROR(VLOOKUP($C548,Merchants!$A$2:$D$41,4,FALSE),"Merchant not found")</f>
        <v>East</v>
      </c>
      <c r="L548" s="3">
        <f>IFERROR(HLOOKUP(F548,Fee_Lookup!$B$1:$E$2,2,FALSE),"Method not found")</f>
        <v>1.2E-2</v>
      </c>
      <c r="M548" s="6">
        <f t="shared" si="16"/>
        <v>4.7880000000000003</v>
      </c>
      <c r="N548" s="8">
        <f t="shared" si="17"/>
        <v>46045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6"/>
  <sheetViews>
    <sheetView workbookViewId="0"/>
  </sheetViews>
  <sheetFormatPr defaultRowHeight="14.6" x14ac:dyDescent="0.4"/>
  <sheetData>
    <row r="1" spans="1:5" x14ac:dyDescent="0.4">
      <c r="A1" t="s">
        <v>616</v>
      </c>
      <c r="B1" t="s">
        <v>66</v>
      </c>
      <c r="C1" t="s">
        <v>63</v>
      </c>
      <c r="D1" t="s">
        <v>78</v>
      </c>
      <c r="E1" t="s">
        <v>69</v>
      </c>
    </row>
    <row r="2" spans="1:5" x14ac:dyDescent="0.4">
      <c r="A2" t="s">
        <v>617</v>
      </c>
      <c r="B2" s="3">
        <v>5.0000000000000001E-3</v>
      </c>
      <c r="C2" s="3">
        <v>7.4999999999999997E-3</v>
      </c>
      <c r="D2" s="3">
        <v>1.2E-2</v>
      </c>
      <c r="E2" s="3">
        <v>0.01</v>
      </c>
    </row>
    <row r="3" spans="1:5" x14ac:dyDescent="0.4">
      <c r="A3" t="s">
        <v>618</v>
      </c>
      <c r="B3" t="s">
        <v>619</v>
      </c>
      <c r="C3" t="s">
        <v>620</v>
      </c>
      <c r="D3" t="s">
        <v>621</v>
      </c>
      <c r="E3" t="s">
        <v>620</v>
      </c>
    </row>
    <row r="5" spans="1:5" x14ac:dyDescent="0.4">
      <c r="A5" t="s">
        <v>622</v>
      </c>
    </row>
    <row r="6" spans="1:5" x14ac:dyDescent="0.4">
      <c r="A6" t="s">
        <v>623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445"/>
  <sheetViews>
    <sheetView topLeftCell="A71" workbookViewId="0">
      <selection activeCell="G4" sqref="G4"/>
    </sheetView>
  </sheetViews>
  <sheetFormatPr defaultRowHeight="14.6" x14ac:dyDescent="0.4"/>
  <cols>
    <col min="1" max="1" width="13.69140625" bestFit="1" customWidth="1"/>
    <col min="2" max="2" width="17.23046875" bestFit="1" customWidth="1"/>
    <col min="3" max="3" width="16.61328125" bestFit="1" customWidth="1"/>
    <col min="4" max="4" width="20.3828125" bestFit="1" customWidth="1"/>
    <col min="5" max="5" width="22.69140625" customWidth="1"/>
  </cols>
  <sheetData>
    <row r="1" spans="1:6" x14ac:dyDescent="0.4">
      <c r="A1" s="9" t="s">
        <v>0</v>
      </c>
      <c r="B1" s="9" t="s">
        <v>626</v>
      </c>
      <c r="C1" t="s">
        <v>628</v>
      </c>
      <c r="D1" t="s">
        <v>630</v>
      </c>
      <c r="E1" s="11" t="s">
        <v>629</v>
      </c>
      <c r="F1" s="11" t="s">
        <v>625</v>
      </c>
    </row>
    <row r="2" spans="1:6" x14ac:dyDescent="0.4">
      <c r="A2">
        <v>1</v>
      </c>
      <c r="B2" s="8">
        <v>46027</v>
      </c>
      <c r="C2" s="10">
        <v>1499</v>
      </c>
      <c r="D2" s="10">
        <v>1</v>
      </c>
      <c r="E2" t="str">
        <f>IF(AND(C2&gt;5000,F2&lt;&gt;"East"),"High-Value Merchant Day","")</f>
        <v/>
      </c>
      <c r="F2" t="str">
        <f>_xlfn.XLOOKUP(A2,Merchants!A:A,Merchants!D:D)</f>
        <v>South</v>
      </c>
    </row>
    <row r="3" spans="1:6" x14ac:dyDescent="0.4">
      <c r="A3">
        <v>1</v>
      </c>
      <c r="B3" s="8">
        <v>46028</v>
      </c>
      <c r="C3" s="10">
        <v>149</v>
      </c>
      <c r="D3" s="10">
        <v>1</v>
      </c>
      <c r="E3" t="str">
        <f>IF(AND(C3&gt;5000,F3&lt;&gt;"East"),"High-Value Merchant Day","")</f>
        <v/>
      </c>
      <c r="F3" t="str">
        <f>_xlfn.XLOOKUP(A3,Merchants!A:A,Merchants!D:D)</f>
        <v>South</v>
      </c>
    </row>
    <row r="4" spans="1:6" x14ac:dyDescent="0.4">
      <c r="A4">
        <v>1</v>
      </c>
      <c r="B4" s="8">
        <v>46031</v>
      </c>
      <c r="C4" s="10">
        <v>5048</v>
      </c>
      <c r="D4" s="10">
        <v>2</v>
      </c>
      <c r="E4" t="str">
        <f>IF(AND(C4&gt;5000,F4&lt;&gt;"East"),"High-Value Merchant Day","")</f>
        <v>High-Value Merchant Day</v>
      </c>
      <c r="F4" t="str">
        <f>_xlfn.XLOOKUP(A4,Merchants!A:A,Merchants!D:D)</f>
        <v>South</v>
      </c>
    </row>
    <row r="5" spans="1:6" x14ac:dyDescent="0.4">
      <c r="A5">
        <v>1</v>
      </c>
      <c r="B5" s="8">
        <v>46033</v>
      </c>
      <c r="C5" s="10">
        <v>299</v>
      </c>
      <c r="D5" s="10">
        <v>1</v>
      </c>
      <c r="E5" t="str">
        <f>IF(AND(C5&gt;5000,F5&lt;&gt;"East"),"High-Value Merchant Day","")</f>
        <v/>
      </c>
      <c r="F5" t="str">
        <f>_xlfn.XLOOKUP(A5,Merchants!A:A,Merchants!D:D)</f>
        <v>South</v>
      </c>
    </row>
    <row r="6" spans="1:6" x14ac:dyDescent="0.4">
      <c r="A6">
        <v>1</v>
      </c>
      <c r="B6" s="8">
        <v>46034</v>
      </c>
      <c r="C6" s="10">
        <v>149</v>
      </c>
      <c r="D6" s="10">
        <v>1</v>
      </c>
      <c r="E6" t="str">
        <f>IF(AND(C6&gt;5000,F6&lt;&gt;"East"),"High-Value Merchant Day","")</f>
        <v/>
      </c>
      <c r="F6" t="str">
        <f>_xlfn.XLOOKUP(A6,Merchants!A:A,Merchants!D:D)</f>
        <v>South</v>
      </c>
    </row>
    <row r="7" spans="1:6" x14ac:dyDescent="0.4">
      <c r="A7">
        <v>1</v>
      </c>
      <c r="B7" s="8">
        <v>46039</v>
      </c>
      <c r="C7" s="10">
        <v>149</v>
      </c>
      <c r="D7" s="10">
        <v>1</v>
      </c>
      <c r="E7" t="str">
        <f>IF(AND(C7&gt;5000,F7&lt;&gt;"East"),"High-Value Merchant Day","")</f>
        <v/>
      </c>
      <c r="F7" t="str">
        <f>_xlfn.XLOOKUP(A7,Merchants!A:A,Merchants!D:D)</f>
        <v>South</v>
      </c>
    </row>
    <row r="8" spans="1:6" x14ac:dyDescent="0.4">
      <c r="A8">
        <v>1</v>
      </c>
      <c r="B8" s="8">
        <v>46045</v>
      </c>
      <c r="C8" s="10">
        <v>3148</v>
      </c>
      <c r="D8" s="10">
        <v>2</v>
      </c>
      <c r="E8" t="str">
        <f>IF(AND(C8&gt;5000,F8&lt;&gt;"East"),"High-Value Merchant Day","")</f>
        <v/>
      </c>
      <c r="F8" t="str">
        <f>_xlfn.XLOOKUP(A8,Merchants!A:A,Merchants!D:D)</f>
        <v>South</v>
      </c>
    </row>
    <row r="9" spans="1:6" x14ac:dyDescent="0.4">
      <c r="A9">
        <v>2</v>
      </c>
      <c r="B9" s="8">
        <v>46029</v>
      </c>
      <c r="C9" s="10">
        <v>499</v>
      </c>
      <c r="D9" s="10">
        <v>1</v>
      </c>
      <c r="E9" t="str">
        <f>IF(AND(C9&gt;5000,F9&lt;&gt;"East"),"High-Value Merchant Day","")</f>
        <v/>
      </c>
      <c r="F9" t="str">
        <f>_xlfn.XLOOKUP(A9,Merchants!A:A,Merchants!D:D)</f>
        <v>West</v>
      </c>
    </row>
    <row r="10" spans="1:6" x14ac:dyDescent="0.4">
      <c r="A10">
        <v>2</v>
      </c>
      <c r="B10" s="8">
        <v>46030</v>
      </c>
      <c r="C10" s="10">
        <v>299</v>
      </c>
      <c r="D10" s="10">
        <v>1</v>
      </c>
      <c r="E10" t="str">
        <f>IF(AND(C10&gt;5000,F10&lt;&gt;"East"),"High-Value Merchant Day","")</f>
        <v/>
      </c>
      <c r="F10" t="str">
        <f>_xlfn.XLOOKUP(A10,Merchants!A:A,Merchants!D:D)</f>
        <v>West</v>
      </c>
    </row>
    <row r="11" spans="1:6" x14ac:dyDescent="0.4">
      <c r="A11">
        <v>2</v>
      </c>
      <c r="B11" s="8">
        <v>46034</v>
      </c>
      <c r="C11" s="10">
        <v>348</v>
      </c>
      <c r="D11" s="10">
        <v>2</v>
      </c>
      <c r="E11" t="str">
        <f>IF(AND(C11&gt;5000,F11&lt;&gt;"East"),"High-Value Merchant Day","")</f>
        <v/>
      </c>
      <c r="F11" t="str">
        <f>_xlfn.XLOOKUP(A11,Merchants!A:A,Merchants!D:D)</f>
        <v>West</v>
      </c>
    </row>
    <row r="12" spans="1:6" x14ac:dyDescent="0.4">
      <c r="A12">
        <v>2</v>
      </c>
      <c r="B12" s="8">
        <v>46035</v>
      </c>
      <c r="C12" s="10">
        <v>49</v>
      </c>
      <c r="D12" s="10">
        <v>1</v>
      </c>
      <c r="E12" t="str">
        <f>IF(AND(C12&gt;5000,F12&lt;&gt;"East"),"High-Value Merchant Day","")</f>
        <v/>
      </c>
      <c r="F12" t="str">
        <f>_xlfn.XLOOKUP(A12,Merchants!A:A,Merchants!D:D)</f>
        <v>West</v>
      </c>
    </row>
    <row r="13" spans="1:6" x14ac:dyDescent="0.4">
      <c r="A13">
        <v>2</v>
      </c>
      <c r="B13" s="8">
        <v>46037</v>
      </c>
      <c r="C13" s="10">
        <v>1499</v>
      </c>
      <c r="D13" s="10">
        <v>1</v>
      </c>
      <c r="E13" t="str">
        <f>IF(AND(C13&gt;5000,F13&lt;&gt;"East"),"High-Value Merchant Day","")</f>
        <v/>
      </c>
      <c r="F13" t="str">
        <f>_xlfn.XLOOKUP(A13,Merchants!A:A,Merchants!D:D)</f>
        <v>West</v>
      </c>
    </row>
    <row r="14" spans="1:6" x14ac:dyDescent="0.4">
      <c r="A14">
        <v>2</v>
      </c>
      <c r="B14" s="8">
        <v>46041</v>
      </c>
      <c r="C14" s="10">
        <v>49</v>
      </c>
      <c r="D14" s="10">
        <v>1</v>
      </c>
      <c r="E14" t="str">
        <f>IF(AND(C14&gt;5000,F14&lt;&gt;"East"),"High-Value Merchant Day","")</f>
        <v/>
      </c>
      <c r="F14" t="str">
        <f>_xlfn.XLOOKUP(A14,Merchants!A:A,Merchants!D:D)</f>
        <v>West</v>
      </c>
    </row>
    <row r="15" spans="1:6" x14ac:dyDescent="0.4">
      <c r="A15">
        <v>2</v>
      </c>
      <c r="B15" s="8">
        <v>46044</v>
      </c>
      <c r="C15" s="10">
        <v>299</v>
      </c>
      <c r="D15" s="10">
        <v>1</v>
      </c>
      <c r="E15" t="str">
        <f>IF(AND(C15&gt;5000,F15&lt;&gt;"East"),"High-Value Merchant Day","")</f>
        <v/>
      </c>
      <c r="F15" t="str">
        <f>_xlfn.XLOOKUP(A15,Merchants!A:A,Merchants!D:D)</f>
        <v>West</v>
      </c>
    </row>
    <row r="16" spans="1:6" x14ac:dyDescent="0.4">
      <c r="A16">
        <v>2</v>
      </c>
      <c r="B16" s="8">
        <v>46048</v>
      </c>
      <c r="C16" s="10">
        <v>299</v>
      </c>
      <c r="D16" s="10">
        <v>1</v>
      </c>
      <c r="E16" t="str">
        <f>IF(AND(C16&gt;5000,F16&lt;&gt;"East"),"High-Value Merchant Day","")</f>
        <v/>
      </c>
      <c r="F16" t="str">
        <f>_xlfn.XLOOKUP(A16,Merchants!A:A,Merchants!D:D)</f>
        <v>West</v>
      </c>
    </row>
    <row r="17" spans="1:6" x14ac:dyDescent="0.4">
      <c r="A17">
        <v>2</v>
      </c>
      <c r="B17" s="8">
        <v>46052</v>
      </c>
      <c r="C17" s="10">
        <v>299</v>
      </c>
      <c r="D17" s="10">
        <v>1</v>
      </c>
      <c r="E17" t="str">
        <f>IF(AND(C17&gt;5000,F17&lt;&gt;"East"),"High-Value Merchant Day","")</f>
        <v/>
      </c>
      <c r="F17" t="str">
        <f>_xlfn.XLOOKUP(A17,Merchants!A:A,Merchants!D:D)</f>
        <v>West</v>
      </c>
    </row>
    <row r="18" spans="1:6" x14ac:dyDescent="0.4">
      <c r="A18">
        <v>3</v>
      </c>
      <c r="B18" s="8">
        <v>46025</v>
      </c>
      <c r="C18" s="10">
        <v>198</v>
      </c>
      <c r="D18" s="10">
        <v>2</v>
      </c>
      <c r="E18" t="str">
        <f>IF(AND(C18&gt;5000,F18&lt;&gt;"East"),"High-Value Merchant Day","")</f>
        <v/>
      </c>
      <c r="F18" t="str">
        <f>_xlfn.XLOOKUP(A18,Merchants!A:A,Merchants!D:D)</f>
        <v>East</v>
      </c>
    </row>
    <row r="19" spans="1:6" x14ac:dyDescent="0.4">
      <c r="A19">
        <v>3</v>
      </c>
      <c r="B19" s="8">
        <v>46027</v>
      </c>
      <c r="C19" s="10">
        <v>99</v>
      </c>
      <c r="D19" s="10">
        <v>1</v>
      </c>
      <c r="E19" t="str">
        <f>IF(AND(C19&gt;5000,F19&lt;&gt;"East"),"High-Value Merchant Day","")</f>
        <v/>
      </c>
      <c r="F19" t="str">
        <f>_xlfn.XLOOKUP(A19,Merchants!A:A,Merchants!D:D)</f>
        <v>East</v>
      </c>
    </row>
    <row r="20" spans="1:6" x14ac:dyDescent="0.4">
      <c r="A20">
        <v>3</v>
      </c>
      <c r="B20" s="8">
        <v>46028</v>
      </c>
      <c r="C20" s="10">
        <v>898</v>
      </c>
      <c r="D20" s="10">
        <v>2</v>
      </c>
      <c r="E20" t="str">
        <f>IF(AND(C20&gt;5000,F20&lt;&gt;"East"),"High-Value Merchant Day","")</f>
        <v/>
      </c>
      <c r="F20" t="str">
        <f>_xlfn.XLOOKUP(A20,Merchants!A:A,Merchants!D:D)</f>
        <v>East</v>
      </c>
    </row>
    <row r="21" spans="1:6" x14ac:dyDescent="0.4">
      <c r="A21">
        <v>3</v>
      </c>
      <c r="B21" s="8">
        <v>46029</v>
      </c>
      <c r="C21" s="10">
        <v>798</v>
      </c>
      <c r="D21" s="10">
        <v>2</v>
      </c>
      <c r="E21" t="str">
        <f>IF(AND(C21&gt;5000,F21&lt;&gt;"East"),"High-Value Merchant Day","")</f>
        <v/>
      </c>
      <c r="F21" t="str">
        <f>_xlfn.XLOOKUP(A21,Merchants!A:A,Merchants!D:D)</f>
        <v>East</v>
      </c>
    </row>
    <row r="22" spans="1:6" x14ac:dyDescent="0.4">
      <c r="A22">
        <v>3</v>
      </c>
      <c r="B22" s="8">
        <v>46030</v>
      </c>
      <c r="C22" s="10">
        <v>149</v>
      </c>
      <c r="D22" s="10">
        <v>1</v>
      </c>
      <c r="E22" t="str">
        <f>IF(AND(C22&gt;5000,F22&lt;&gt;"East"),"High-Value Merchant Day","")</f>
        <v/>
      </c>
      <c r="F22" t="str">
        <f>_xlfn.XLOOKUP(A22,Merchants!A:A,Merchants!D:D)</f>
        <v>East</v>
      </c>
    </row>
    <row r="23" spans="1:6" x14ac:dyDescent="0.4">
      <c r="A23">
        <v>3</v>
      </c>
      <c r="B23" s="8">
        <v>46035</v>
      </c>
      <c r="C23" s="10">
        <v>198</v>
      </c>
      <c r="D23" s="10">
        <v>2</v>
      </c>
      <c r="E23" t="str">
        <f>IF(AND(C23&gt;5000,F23&lt;&gt;"East"),"High-Value Merchant Day","")</f>
        <v/>
      </c>
      <c r="F23" t="str">
        <f>_xlfn.XLOOKUP(A23,Merchants!A:A,Merchants!D:D)</f>
        <v>East</v>
      </c>
    </row>
    <row r="24" spans="1:6" x14ac:dyDescent="0.4">
      <c r="A24">
        <v>3</v>
      </c>
      <c r="B24" s="8">
        <v>46038</v>
      </c>
      <c r="C24" s="10">
        <v>4999</v>
      </c>
      <c r="D24" s="10">
        <v>1</v>
      </c>
      <c r="E24" t="str">
        <f>IF(AND(C24&gt;5000,F24&lt;&gt;"East"),"High-Value Merchant Day","")</f>
        <v/>
      </c>
      <c r="F24" t="str">
        <f>_xlfn.XLOOKUP(A24,Merchants!A:A,Merchants!D:D)</f>
        <v>East</v>
      </c>
    </row>
    <row r="25" spans="1:6" x14ac:dyDescent="0.4">
      <c r="A25">
        <v>3</v>
      </c>
      <c r="B25" s="8">
        <v>46042</v>
      </c>
      <c r="C25" s="10">
        <v>99</v>
      </c>
      <c r="D25" s="10">
        <v>1</v>
      </c>
      <c r="E25" t="str">
        <f>IF(AND(C25&gt;5000,F25&lt;&gt;"East"),"High-Value Merchant Day","")</f>
        <v/>
      </c>
      <c r="F25" t="str">
        <f>_xlfn.XLOOKUP(A25,Merchants!A:A,Merchants!D:D)</f>
        <v>East</v>
      </c>
    </row>
    <row r="26" spans="1:6" x14ac:dyDescent="0.4">
      <c r="A26">
        <v>3</v>
      </c>
      <c r="B26" s="8">
        <v>46044</v>
      </c>
      <c r="C26" s="10">
        <v>499</v>
      </c>
      <c r="D26" s="10">
        <v>1</v>
      </c>
      <c r="E26" t="str">
        <f>IF(AND(C26&gt;5000,F26&lt;&gt;"East"),"High-Value Merchant Day","")</f>
        <v/>
      </c>
      <c r="F26" t="str">
        <f>_xlfn.XLOOKUP(A26,Merchants!A:A,Merchants!D:D)</f>
        <v>East</v>
      </c>
    </row>
    <row r="27" spans="1:6" x14ac:dyDescent="0.4">
      <c r="A27">
        <v>3</v>
      </c>
      <c r="B27" s="8">
        <v>46045</v>
      </c>
      <c r="C27" s="10">
        <v>49</v>
      </c>
      <c r="D27" s="10">
        <v>1</v>
      </c>
      <c r="E27" t="str">
        <f>IF(AND(C27&gt;5000,F27&lt;&gt;"East"),"High-Value Merchant Day","")</f>
        <v/>
      </c>
      <c r="F27" t="str">
        <f>_xlfn.XLOOKUP(A27,Merchants!A:A,Merchants!D:D)</f>
        <v>East</v>
      </c>
    </row>
    <row r="28" spans="1:6" x14ac:dyDescent="0.4">
      <c r="A28">
        <v>3</v>
      </c>
      <c r="B28" s="8">
        <v>46048</v>
      </c>
      <c r="C28" s="10">
        <v>149</v>
      </c>
      <c r="D28" s="10">
        <v>1</v>
      </c>
      <c r="E28" t="str">
        <f>IF(AND(C28&gt;5000,F28&lt;&gt;"East"),"High-Value Merchant Day","")</f>
        <v/>
      </c>
      <c r="F28" t="str">
        <f>_xlfn.XLOOKUP(A28,Merchants!A:A,Merchants!D:D)</f>
        <v>East</v>
      </c>
    </row>
    <row r="29" spans="1:6" x14ac:dyDescent="0.4">
      <c r="A29">
        <v>3</v>
      </c>
      <c r="B29" s="8">
        <v>46051</v>
      </c>
      <c r="C29" s="10">
        <v>49</v>
      </c>
      <c r="D29" s="10">
        <v>1</v>
      </c>
      <c r="E29" t="str">
        <f>IF(AND(C29&gt;5000,F29&lt;&gt;"East"),"High-Value Merchant Day","")</f>
        <v/>
      </c>
      <c r="F29" t="str">
        <f>_xlfn.XLOOKUP(A29,Merchants!A:A,Merchants!D:D)</f>
        <v>East</v>
      </c>
    </row>
    <row r="30" spans="1:6" x14ac:dyDescent="0.4">
      <c r="A30">
        <v>3</v>
      </c>
      <c r="B30" s="8">
        <v>46052</v>
      </c>
      <c r="C30" s="10">
        <v>49</v>
      </c>
      <c r="D30" s="10">
        <v>1</v>
      </c>
      <c r="E30" t="str">
        <f>IF(AND(C30&gt;5000,F30&lt;&gt;"East"),"High-Value Merchant Day","")</f>
        <v/>
      </c>
      <c r="F30" t="str">
        <f>_xlfn.XLOOKUP(A30,Merchants!A:A,Merchants!D:D)</f>
        <v>East</v>
      </c>
    </row>
    <row r="31" spans="1:6" x14ac:dyDescent="0.4">
      <c r="A31">
        <v>4</v>
      </c>
      <c r="B31" s="8">
        <v>46024</v>
      </c>
      <c r="C31" s="10">
        <v>149</v>
      </c>
      <c r="D31" s="10">
        <v>1</v>
      </c>
      <c r="E31" t="str">
        <f>IF(AND(C31&gt;5000,F31&lt;&gt;"East"),"High-Value Merchant Day","")</f>
        <v/>
      </c>
      <c r="F31" t="str">
        <f>_xlfn.XLOOKUP(A31,Merchants!A:A,Merchants!D:D)</f>
        <v>East</v>
      </c>
    </row>
    <row r="32" spans="1:6" x14ac:dyDescent="0.4">
      <c r="A32">
        <v>4</v>
      </c>
      <c r="B32" s="8">
        <v>46034</v>
      </c>
      <c r="C32" s="10">
        <v>49</v>
      </c>
      <c r="D32" s="10">
        <v>1</v>
      </c>
      <c r="E32" t="str">
        <f>IF(AND(C32&gt;5000,F32&lt;&gt;"East"),"High-Value Merchant Day","")</f>
        <v/>
      </c>
      <c r="F32" t="str">
        <f>_xlfn.XLOOKUP(A32,Merchants!A:A,Merchants!D:D)</f>
        <v>East</v>
      </c>
    </row>
    <row r="33" spans="1:6" x14ac:dyDescent="0.4">
      <c r="A33">
        <v>4</v>
      </c>
      <c r="B33" s="8">
        <v>46035</v>
      </c>
      <c r="C33" s="10">
        <v>948</v>
      </c>
      <c r="D33" s="10">
        <v>2</v>
      </c>
      <c r="E33" t="str">
        <f>IF(AND(C33&gt;5000,F33&lt;&gt;"East"),"High-Value Merchant Day","")</f>
        <v/>
      </c>
      <c r="F33" t="str">
        <f>_xlfn.XLOOKUP(A33,Merchants!A:A,Merchants!D:D)</f>
        <v>East</v>
      </c>
    </row>
    <row r="34" spans="1:6" x14ac:dyDescent="0.4">
      <c r="A34">
        <v>4</v>
      </c>
      <c r="B34" s="8">
        <v>46038</v>
      </c>
      <c r="C34" s="10">
        <v>799</v>
      </c>
      <c r="D34" s="10">
        <v>1</v>
      </c>
      <c r="E34" t="str">
        <f>IF(AND(C34&gt;5000,F34&lt;&gt;"East"),"High-Value Merchant Day","")</f>
        <v/>
      </c>
      <c r="F34" t="str">
        <f>_xlfn.XLOOKUP(A34,Merchants!A:A,Merchants!D:D)</f>
        <v>East</v>
      </c>
    </row>
    <row r="35" spans="1:6" x14ac:dyDescent="0.4">
      <c r="A35">
        <v>4</v>
      </c>
      <c r="B35" s="8">
        <v>46039</v>
      </c>
      <c r="C35" s="10">
        <v>1499</v>
      </c>
      <c r="D35" s="10">
        <v>1</v>
      </c>
      <c r="E35" t="str">
        <f>IF(AND(C35&gt;5000,F35&lt;&gt;"East"),"High-Value Merchant Day","")</f>
        <v/>
      </c>
      <c r="F35" t="str">
        <f>_xlfn.XLOOKUP(A35,Merchants!A:A,Merchants!D:D)</f>
        <v>East</v>
      </c>
    </row>
    <row r="36" spans="1:6" x14ac:dyDescent="0.4">
      <c r="A36">
        <v>4</v>
      </c>
      <c r="B36" s="8">
        <v>46046</v>
      </c>
      <c r="C36" s="10">
        <v>1499</v>
      </c>
      <c r="D36" s="10">
        <v>1</v>
      </c>
      <c r="E36" t="str">
        <f>IF(AND(C36&gt;5000,F36&lt;&gt;"East"),"High-Value Merchant Day","")</f>
        <v/>
      </c>
      <c r="F36" t="str">
        <f>_xlfn.XLOOKUP(A36,Merchants!A:A,Merchants!D:D)</f>
        <v>East</v>
      </c>
    </row>
    <row r="37" spans="1:6" x14ac:dyDescent="0.4">
      <c r="A37">
        <v>4</v>
      </c>
      <c r="B37" s="8">
        <v>46047</v>
      </c>
      <c r="C37" s="10">
        <v>1998</v>
      </c>
      <c r="D37" s="10">
        <v>2</v>
      </c>
      <c r="E37" t="str">
        <f>IF(AND(C37&gt;5000,F37&lt;&gt;"East"),"High-Value Merchant Day","")</f>
        <v/>
      </c>
      <c r="F37" t="str">
        <f>_xlfn.XLOOKUP(A37,Merchants!A:A,Merchants!D:D)</f>
        <v>East</v>
      </c>
    </row>
    <row r="38" spans="1:6" x14ac:dyDescent="0.4">
      <c r="A38">
        <v>5</v>
      </c>
      <c r="B38" s="8">
        <v>46023</v>
      </c>
      <c r="C38" s="10">
        <v>499</v>
      </c>
      <c r="D38" s="10">
        <v>1</v>
      </c>
      <c r="E38" t="str">
        <f>IF(AND(C38&gt;5000,F38&lt;&gt;"East"),"High-Value Merchant Day","")</f>
        <v/>
      </c>
      <c r="F38" t="str">
        <f>_xlfn.XLOOKUP(A38,Merchants!A:A,Merchants!D:D)</f>
        <v>South</v>
      </c>
    </row>
    <row r="39" spans="1:6" x14ac:dyDescent="0.4">
      <c r="A39">
        <v>5</v>
      </c>
      <c r="B39" s="8">
        <v>46025</v>
      </c>
      <c r="C39" s="10">
        <v>499</v>
      </c>
      <c r="D39" s="10">
        <v>1</v>
      </c>
      <c r="E39" t="str">
        <f>IF(AND(C39&gt;5000,F39&lt;&gt;"East"),"High-Value Merchant Day","")</f>
        <v/>
      </c>
      <c r="F39" t="str">
        <f>_xlfn.XLOOKUP(A39,Merchants!A:A,Merchants!D:D)</f>
        <v>South</v>
      </c>
    </row>
    <row r="40" spans="1:6" x14ac:dyDescent="0.4">
      <c r="A40">
        <v>5</v>
      </c>
      <c r="B40" s="8">
        <v>46031</v>
      </c>
      <c r="C40" s="10">
        <v>348</v>
      </c>
      <c r="D40" s="10">
        <v>2</v>
      </c>
      <c r="E40" t="str">
        <f>IF(AND(C40&gt;5000,F40&lt;&gt;"East"),"High-Value Merchant Day","")</f>
        <v/>
      </c>
      <c r="F40" t="str">
        <f>_xlfn.XLOOKUP(A40,Merchants!A:A,Merchants!D:D)</f>
        <v>South</v>
      </c>
    </row>
    <row r="41" spans="1:6" x14ac:dyDescent="0.4">
      <c r="A41">
        <v>5</v>
      </c>
      <c r="B41" s="8">
        <v>46032</v>
      </c>
      <c r="C41" s="10">
        <v>99</v>
      </c>
      <c r="D41" s="10">
        <v>1</v>
      </c>
      <c r="E41" t="str">
        <f>IF(AND(C41&gt;5000,F41&lt;&gt;"East"),"High-Value Merchant Day","")</f>
        <v/>
      </c>
      <c r="F41" t="str">
        <f>_xlfn.XLOOKUP(A41,Merchants!A:A,Merchants!D:D)</f>
        <v>South</v>
      </c>
    </row>
    <row r="42" spans="1:6" x14ac:dyDescent="0.4">
      <c r="A42">
        <v>5</v>
      </c>
      <c r="B42" s="8">
        <v>46037</v>
      </c>
      <c r="C42" s="10">
        <v>548</v>
      </c>
      <c r="D42" s="10">
        <v>2</v>
      </c>
      <c r="E42" t="str">
        <f>IF(AND(C42&gt;5000,F42&lt;&gt;"East"),"High-Value Merchant Day","")</f>
        <v/>
      </c>
      <c r="F42" t="str">
        <f>_xlfn.XLOOKUP(A42,Merchants!A:A,Merchants!D:D)</f>
        <v>South</v>
      </c>
    </row>
    <row r="43" spans="1:6" x14ac:dyDescent="0.4">
      <c r="A43">
        <v>5</v>
      </c>
      <c r="B43" s="8">
        <v>46039</v>
      </c>
      <c r="C43" s="10">
        <v>499</v>
      </c>
      <c r="D43" s="10">
        <v>1</v>
      </c>
      <c r="E43" t="str">
        <f>IF(AND(C43&gt;5000,F43&lt;&gt;"East"),"High-Value Merchant Day","")</f>
        <v/>
      </c>
      <c r="F43" t="str">
        <f>_xlfn.XLOOKUP(A43,Merchants!A:A,Merchants!D:D)</f>
        <v>South</v>
      </c>
    </row>
    <row r="44" spans="1:6" x14ac:dyDescent="0.4">
      <c r="A44">
        <v>5</v>
      </c>
      <c r="B44" s="8">
        <v>46040</v>
      </c>
      <c r="C44" s="10">
        <v>299</v>
      </c>
      <c r="D44" s="10">
        <v>1</v>
      </c>
      <c r="E44" t="str">
        <f>IF(AND(C44&gt;5000,F44&lt;&gt;"East"),"High-Value Merchant Day","")</f>
        <v/>
      </c>
      <c r="F44" t="str">
        <f>_xlfn.XLOOKUP(A44,Merchants!A:A,Merchants!D:D)</f>
        <v>South</v>
      </c>
    </row>
    <row r="45" spans="1:6" x14ac:dyDescent="0.4">
      <c r="A45">
        <v>5</v>
      </c>
      <c r="B45" s="8">
        <v>46041</v>
      </c>
      <c r="C45" s="10">
        <v>49</v>
      </c>
      <c r="D45" s="10">
        <v>1</v>
      </c>
      <c r="E45" t="str">
        <f>IF(AND(C45&gt;5000,F45&lt;&gt;"East"),"High-Value Merchant Day","")</f>
        <v/>
      </c>
      <c r="F45" t="str">
        <f>_xlfn.XLOOKUP(A45,Merchants!A:A,Merchants!D:D)</f>
        <v>South</v>
      </c>
    </row>
    <row r="46" spans="1:6" x14ac:dyDescent="0.4">
      <c r="A46">
        <v>5</v>
      </c>
      <c r="B46" s="8">
        <v>46052</v>
      </c>
      <c r="C46" s="10">
        <v>2999</v>
      </c>
      <c r="D46" s="10">
        <v>1</v>
      </c>
      <c r="E46" t="str">
        <f>IF(AND(C46&gt;5000,F46&lt;&gt;"East"),"High-Value Merchant Day","")</f>
        <v/>
      </c>
      <c r="F46" t="str">
        <f>_xlfn.XLOOKUP(A46,Merchants!A:A,Merchants!D:D)</f>
        <v>South</v>
      </c>
    </row>
    <row r="47" spans="1:6" x14ac:dyDescent="0.4">
      <c r="A47">
        <v>6</v>
      </c>
      <c r="B47" s="8">
        <v>46023</v>
      </c>
      <c r="C47" s="10">
        <v>49</v>
      </c>
      <c r="D47" s="10">
        <v>1</v>
      </c>
      <c r="E47" t="str">
        <f>IF(AND(C47&gt;5000,F47&lt;&gt;"East"),"High-Value Merchant Day","")</f>
        <v/>
      </c>
      <c r="F47" t="str">
        <f>_xlfn.XLOOKUP(A47,Merchants!A:A,Merchants!D:D)</f>
        <v>South</v>
      </c>
    </row>
    <row r="48" spans="1:6" x14ac:dyDescent="0.4">
      <c r="A48">
        <v>6</v>
      </c>
      <c r="B48" s="8">
        <v>46025</v>
      </c>
      <c r="C48" s="10">
        <v>799</v>
      </c>
      <c r="D48" s="10">
        <v>1</v>
      </c>
      <c r="E48" t="str">
        <f>IF(AND(C48&gt;5000,F48&lt;&gt;"East"),"High-Value Merchant Day","")</f>
        <v/>
      </c>
      <c r="F48" t="str">
        <f>_xlfn.XLOOKUP(A48,Merchants!A:A,Merchants!D:D)</f>
        <v>South</v>
      </c>
    </row>
    <row r="49" spans="1:6" x14ac:dyDescent="0.4">
      <c r="A49">
        <v>6</v>
      </c>
      <c r="B49" s="8">
        <v>46027</v>
      </c>
      <c r="C49" s="10">
        <v>1499</v>
      </c>
      <c r="D49" s="10">
        <v>1</v>
      </c>
      <c r="E49" t="str">
        <f>IF(AND(C49&gt;5000,F49&lt;&gt;"East"),"High-Value Merchant Day","")</f>
        <v/>
      </c>
      <c r="F49" t="str">
        <f>_xlfn.XLOOKUP(A49,Merchants!A:A,Merchants!D:D)</f>
        <v>South</v>
      </c>
    </row>
    <row r="50" spans="1:6" x14ac:dyDescent="0.4">
      <c r="A50">
        <v>6</v>
      </c>
      <c r="B50" s="8">
        <v>46030</v>
      </c>
      <c r="C50" s="10">
        <v>149</v>
      </c>
      <c r="D50" s="10">
        <v>1</v>
      </c>
      <c r="E50" t="str">
        <f>IF(AND(C50&gt;5000,F50&lt;&gt;"East"),"High-Value Merchant Day","")</f>
        <v/>
      </c>
      <c r="F50" t="str">
        <f>_xlfn.XLOOKUP(A50,Merchants!A:A,Merchants!D:D)</f>
        <v>South</v>
      </c>
    </row>
    <row r="51" spans="1:6" x14ac:dyDescent="0.4">
      <c r="A51">
        <v>6</v>
      </c>
      <c r="B51" s="8">
        <v>46031</v>
      </c>
      <c r="C51" s="10">
        <v>99</v>
      </c>
      <c r="D51" s="10">
        <v>1</v>
      </c>
      <c r="E51" t="str">
        <f>IF(AND(C51&gt;5000,F51&lt;&gt;"East"),"High-Value Merchant Day","")</f>
        <v/>
      </c>
      <c r="F51" t="str">
        <f>_xlfn.XLOOKUP(A51,Merchants!A:A,Merchants!D:D)</f>
        <v>South</v>
      </c>
    </row>
    <row r="52" spans="1:6" x14ac:dyDescent="0.4">
      <c r="A52">
        <v>6</v>
      </c>
      <c r="B52" s="8">
        <v>46033</v>
      </c>
      <c r="C52" s="10">
        <v>1499</v>
      </c>
      <c r="D52" s="10">
        <v>1</v>
      </c>
      <c r="E52" t="str">
        <f>IF(AND(C52&gt;5000,F52&lt;&gt;"East"),"High-Value Merchant Day","")</f>
        <v/>
      </c>
      <c r="F52" t="str">
        <f>_xlfn.XLOOKUP(A52,Merchants!A:A,Merchants!D:D)</f>
        <v>South</v>
      </c>
    </row>
    <row r="53" spans="1:6" x14ac:dyDescent="0.4">
      <c r="A53">
        <v>6</v>
      </c>
      <c r="B53" s="8">
        <v>46035</v>
      </c>
      <c r="C53" s="10">
        <v>1499</v>
      </c>
      <c r="D53" s="10">
        <v>1</v>
      </c>
      <c r="E53" t="str">
        <f>IF(AND(C53&gt;5000,F53&lt;&gt;"East"),"High-Value Merchant Day","")</f>
        <v/>
      </c>
      <c r="F53" t="str">
        <f>_xlfn.XLOOKUP(A53,Merchants!A:A,Merchants!D:D)</f>
        <v>South</v>
      </c>
    </row>
    <row r="54" spans="1:6" x14ac:dyDescent="0.4">
      <c r="A54">
        <v>6</v>
      </c>
      <c r="B54" s="8">
        <v>46037</v>
      </c>
      <c r="C54" s="10">
        <v>49</v>
      </c>
      <c r="D54" s="10">
        <v>1</v>
      </c>
      <c r="E54" t="str">
        <f>IF(AND(C54&gt;5000,F54&lt;&gt;"East"),"High-Value Merchant Day","")</f>
        <v/>
      </c>
      <c r="F54" t="str">
        <f>_xlfn.XLOOKUP(A54,Merchants!A:A,Merchants!D:D)</f>
        <v>South</v>
      </c>
    </row>
    <row r="55" spans="1:6" x14ac:dyDescent="0.4">
      <c r="A55">
        <v>6</v>
      </c>
      <c r="B55" s="8">
        <v>46039</v>
      </c>
      <c r="C55" s="10">
        <v>799</v>
      </c>
      <c r="D55" s="10">
        <v>1</v>
      </c>
      <c r="E55" t="str">
        <f>IF(AND(C55&gt;5000,F55&lt;&gt;"East"),"High-Value Merchant Day","")</f>
        <v/>
      </c>
      <c r="F55" t="str">
        <f>_xlfn.XLOOKUP(A55,Merchants!A:A,Merchants!D:D)</f>
        <v>South</v>
      </c>
    </row>
    <row r="56" spans="1:6" x14ac:dyDescent="0.4">
      <c r="A56">
        <v>6</v>
      </c>
      <c r="B56" s="8">
        <v>46041</v>
      </c>
      <c r="C56" s="10">
        <v>49</v>
      </c>
      <c r="D56" s="10">
        <v>1</v>
      </c>
      <c r="E56" t="str">
        <f>IF(AND(C56&gt;5000,F56&lt;&gt;"East"),"High-Value Merchant Day","")</f>
        <v/>
      </c>
      <c r="F56" t="str">
        <f>_xlfn.XLOOKUP(A56,Merchants!A:A,Merchants!D:D)</f>
        <v>South</v>
      </c>
    </row>
    <row r="57" spans="1:6" x14ac:dyDescent="0.4">
      <c r="A57">
        <v>6</v>
      </c>
      <c r="B57" s="8">
        <v>46043</v>
      </c>
      <c r="C57" s="10">
        <v>49</v>
      </c>
      <c r="D57" s="10">
        <v>1</v>
      </c>
      <c r="E57" t="str">
        <f>IF(AND(C57&gt;5000,F57&lt;&gt;"East"),"High-Value Merchant Day","")</f>
        <v/>
      </c>
      <c r="F57" t="str">
        <f>_xlfn.XLOOKUP(A57,Merchants!A:A,Merchants!D:D)</f>
        <v>South</v>
      </c>
    </row>
    <row r="58" spans="1:6" x14ac:dyDescent="0.4">
      <c r="A58">
        <v>6</v>
      </c>
      <c r="B58" s="8">
        <v>46048</v>
      </c>
      <c r="C58" s="10">
        <v>897</v>
      </c>
      <c r="D58" s="10">
        <v>3</v>
      </c>
      <c r="E58" t="str">
        <f>IF(AND(C58&gt;5000,F58&lt;&gt;"East"),"High-Value Merchant Day","")</f>
        <v/>
      </c>
      <c r="F58" t="str">
        <f>_xlfn.XLOOKUP(A58,Merchants!A:A,Merchants!D:D)</f>
        <v>South</v>
      </c>
    </row>
    <row r="59" spans="1:6" x14ac:dyDescent="0.4">
      <c r="A59">
        <v>7</v>
      </c>
      <c r="B59" s="8">
        <v>46024</v>
      </c>
      <c r="C59" s="10">
        <v>3797</v>
      </c>
      <c r="D59" s="10">
        <v>3</v>
      </c>
      <c r="E59" t="str">
        <f>IF(AND(C59&gt;5000,F59&lt;&gt;"East"),"High-Value Merchant Day","")</f>
        <v/>
      </c>
      <c r="F59" t="str">
        <f>_xlfn.XLOOKUP(A59,Merchants!A:A,Merchants!D:D)</f>
        <v>East</v>
      </c>
    </row>
    <row r="60" spans="1:6" x14ac:dyDescent="0.4">
      <c r="A60">
        <v>7</v>
      </c>
      <c r="B60" s="8">
        <v>46025</v>
      </c>
      <c r="C60" s="10">
        <v>149</v>
      </c>
      <c r="D60" s="10">
        <v>1</v>
      </c>
      <c r="E60" t="str">
        <f>IF(AND(C60&gt;5000,F60&lt;&gt;"East"),"High-Value Merchant Day","")</f>
        <v/>
      </c>
      <c r="F60" t="str">
        <f>_xlfn.XLOOKUP(A60,Merchants!A:A,Merchants!D:D)</f>
        <v>East</v>
      </c>
    </row>
    <row r="61" spans="1:6" x14ac:dyDescent="0.4">
      <c r="A61">
        <v>7</v>
      </c>
      <c r="B61" s="8">
        <v>46027</v>
      </c>
      <c r="C61" s="10">
        <v>4498</v>
      </c>
      <c r="D61" s="10">
        <v>2</v>
      </c>
      <c r="E61" t="str">
        <f>IF(AND(C61&gt;5000,F61&lt;&gt;"East"),"High-Value Merchant Day","")</f>
        <v/>
      </c>
      <c r="F61" t="str">
        <f>_xlfn.XLOOKUP(A61,Merchants!A:A,Merchants!D:D)</f>
        <v>East</v>
      </c>
    </row>
    <row r="62" spans="1:6" x14ac:dyDescent="0.4">
      <c r="A62">
        <v>7</v>
      </c>
      <c r="B62" s="8">
        <v>46030</v>
      </c>
      <c r="C62" s="10">
        <v>299</v>
      </c>
      <c r="D62" s="10">
        <v>1</v>
      </c>
      <c r="E62" t="str">
        <f>IF(AND(C62&gt;5000,F62&lt;&gt;"East"),"High-Value Merchant Day","")</f>
        <v/>
      </c>
      <c r="F62" t="str">
        <f>_xlfn.XLOOKUP(A62,Merchants!A:A,Merchants!D:D)</f>
        <v>East</v>
      </c>
    </row>
    <row r="63" spans="1:6" x14ac:dyDescent="0.4">
      <c r="A63">
        <v>7</v>
      </c>
      <c r="B63" s="8">
        <v>46032</v>
      </c>
      <c r="C63" s="10">
        <v>499</v>
      </c>
      <c r="D63" s="10">
        <v>1</v>
      </c>
      <c r="E63" t="str">
        <f>IF(AND(C63&gt;5000,F63&lt;&gt;"East"),"High-Value Merchant Day","")</f>
        <v/>
      </c>
      <c r="F63" t="str">
        <f>_xlfn.XLOOKUP(A63,Merchants!A:A,Merchants!D:D)</f>
        <v>East</v>
      </c>
    </row>
    <row r="64" spans="1:6" x14ac:dyDescent="0.4">
      <c r="A64">
        <v>7</v>
      </c>
      <c r="B64" s="8">
        <v>46037</v>
      </c>
      <c r="C64" s="10">
        <v>1648</v>
      </c>
      <c r="D64" s="10">
        <v>2</v>
      </c>
      <c r="E64" t="str">
        <f>IF(AND(C64&gt;5000,F64&lt;&gt;"East"),"High-Value Merchant Day","")</f>
        <v/>
      </c>
      <c r="F64" t="str">
        <f>_xlfn.XLOOKUP(A64,Merchants!A:A,Merchants!D:D)</f>
        <v>East</v>
      </c>
    </row>
    <row r="65" spans="1:6" x14ac:dyDescent="0.4">
      <c r="A65">
        <v>7</v>
      </c>
      <c r="B65" s="8">
        <v>46039</v>
      </c>
      <c r="C65" s="10">
        <v>149</v>
      </c>
      <c r="D65" s="10">
        <v>1</v>
      </c>
      <c r="E65" t="str">
        <f>IF(AND(C65&gt;5000,F65&lt;&gt;"East"),"High-Value Merchant Day","")</f>
        <v/>
      </c>
      <c r="F65" t="str">
        <f>_xlfn.XLOOKUP(A65,Merchants!A:A,Merchants!D:D)</f>
        <v>East</v>
      </c>
    </row>
    <row r="66" spans="1:6" x14ac:dyDescent="0.4">
      <c r="A66">
        <v>7</v>
      </c>
      <c r="B66" s="8">
        <v>46043</v>
      </c>
      <c r="C66" s="10">
        <v>1499</v>
      </c>
      <c r="D66" s="10">
        <v>1</v>
      </c>
      <c r="E66" t="str">
        <f>IF(AND(C66&gt;5000,F66&lt;&gt;"East"),"High-Value Merchant Day","")</f>
        <v/>
      </c>
      <c r="F66" t="str">
        <f>_xlfn.XLOOKUP(A66,Merchants!A:A,Merchants!D:D)</f>
        <v>East</v>
      </c>
    </row>
    <row r="67" spans="1:6" x14ac:dyDescent="0.4">
      <c r="A67">
        <v>7</v>
      </c>
      <c r="B67" s="8">
        <v>46046</v>
      </c>
      <c r="C67" s="10">
        <v>1298</v>
      </c>
      <c r="D67" s="10">
        <v>2</v>
      </c>
      <c r="E67" t="str">
        <f>IF(AND(C67&gt;5000,F67&lt;&gt;"East"),"High-Value Merchant Day","")</f>
        <v/>
      </c>
      <c r="F67" t="str">
        <f>_xlfn.XLOOKUP(A67,Merchants!A:A,Merchants!D:D)</f>
        <v>East</v>
      </c>
    </row>
    <row r="68" spans="1:6" x14ac:dyDescent="0.4">
      <c r="A68">
        <v>7</v>
      </c>
      <c r="B68" s="8">
        <v>46047</v>
      </c>
      <c r="C68" s="10">
        <v>99</v>
      </c>
      <c r="D68" s="10">
        <v>1</v>
      </c>
      <c r="E68" t="str">
        <f>IF(AND(C68&gt;5000,F68&lt;&gt;"East"),"High-Value Merchant Day","")</f>
        <v/>
      </c>
      <c r="F68" t="str">
        <f>_xlfn.XLOOKUP(A68,Merchants!A:A,Merchants!D:D)</f>
        <v>East</v>
      </c>
    </row>
    <row r="69" spans="1:6" x14ac:dyDescent="0.4">
      <c r="A69">
        <v>7</v>
      </c>
      <c r="B69" s="8">
        <v>46052</v>
      </c>
      <c r="C69" s="10">
        <v>1999</v>
      </c>
      <c r="D69" s="10">
        <v>1</v>
      </c>
      <c r="E69" t="str">
        <f>IF(AND(C69&gt;5000,F69&lt;&gt;"East"),"High-Value Merchant Day","")</f>
        <v/>
      </c>
      <c r="F69" t="str">
        <f>_xlfn.XLOOKUP(A69,Merchants!A:A,Merchants!D:D)</f>
        <v>East</v>
      </c>
    </row>
    <row r="70" spans="1:6" x14ac:dyDescent="0.4">
      <c r="A70">
        <v>8</v>
      </c>
      <c r="B70" s="8">
        <v>46024</v>
      </c>
      <c r="C70" s="10">
        <v>299</v>
      </c>
      <c r="D70" s="10">
        <v>1</v>
      </c>
      <c r="E70" t="str">
        <f>IF(AND(C70&gt;5000,F70&lt;&gt;"East"),"High-Value Merchant Day","")</f>
        <v/>
      </c>
      <c r="F70" t="str">
        <f>_xlfn.XLOOKUP(A70,Merchants!A:A,Merchants!D:D)</f>
        <v>North</v>
      </c>
    </row>
    <row r="71" spans="1:6" x14ac:dyDescent="0.4">
      <c r="A71">
        <v>8</v>
      </c>
      <c r="B71" s="8">
        <v>46025</v>
      </c>
      <c r="C71" s="10">
        <v>299</v>
      </c>
      <c r="D71" s="10">
        <v>1</v>
      </c>
      <c r="E71" t="str">
        <f>IF(AND(C71&gt;5000,F71&lt;&gt;"East"),"High-Value Merchant Day","")</f>
        <v/>
      </c>
      <c r="F71" t="str">
        <f>_xlfn.XLOOKUP(A71,Merchants!A:A,Merchants!D:D)</f>
        <v>North</v>
      </c>
    </row>
    <row r="72" spans="1:6" x14ac:dyDescent="0.4">
      <c r="A72">
        <v>8</v>
      </c>
      <c r="B72" s="8">
        <v>46028</v>
      </c>
      <c r="C72" s="10">
        <v>49</v>
      </c>
      <c r="D72" s="10">
        <v>1</v>
      </c>
      <c r="E72" t="str">
        <f>IF(AND(C72&gt;5000,F72&lt;&gt;"East"),"High-Value Merchant Day","")</f>
        <v/>
      </c>
      <c r="F72" t="str">
        <f>_xlfn.XLOOKUP(A72,Merchants!A:A,Merchants!D:D)</f>
        <v>North</v>
      </c>
    </row>
    <row r="73" spans="1:6" x14ac:dyDescent="0.4">
      <c r="A73">
        <v>8</v>
      </c>
      <c r="B73" s="8">
        <v>46030</v>
      </c>
      <c r="C73" s="10">
        <v>99</v>
      </c>
      <c r="D73" s="10">
        <v>1</v>
      </c>
      <c r="E73" t="str">
        <f>IF(AND(C73&gt;5000,F73&lt;&gt;"East"),"High-Value Merchant Day","")</f>
        <v/>
      </c>
      <c r="F73" t="str">
        <f>_xlfn.XLOOKUP(A73,Merchants!A:A,Merchants!D:D)</f>
        <v>North</v>
      </c>
    </row>
    <row r="74" spans="1:6" x14ac:dyDescent="0.4">
      <c r="A74">
        <v>8</v>
      </c>
      <c r="B74" s="8">
        <v>46033</v>
      </c>
      <c r="C74" s="10">
        <v>149</v>
      </c>
      <c r="D74" s="10">
        <v>1</v>
      </c>
      <c r="E74" t="str">
        <f>IF(AND(C74&gt;5000,F74&lt;&gt;"East"),"High-Value Merchant Day","")</f>
        <v/>
      </c>
      <c r="F74" t="str">
        <f>_xlfn.XLOOKUP(A74,Merchants!A:A,Merchants!D:D)</f>
        <v>North</v>
      </c>
    </row>
    <row r="75" spans="1:6" x14ac:dyDescent="0.4">
      <c r="A75">
        <v>8</v>
      </c>
      <c r="B75" s="8">
        <v>46034</v>
      </c>
      <c r="C75" s="10">
        <v>398</v>
      </c>
      <c r="D75" s="10">
        <v>2</v>
      </c>
      <c r="E75" t="str">
        <f>IF(AND(C75&gt;5000,F75&lt;&gt;"East"),"High-Value Merchant Day","")</f>
        <v/>
      </c>
      <c r="F75" t="str">
        <f>_xlfn.XLOOKUP(A75,Merchants!A:A,Merchants!D:D)</f>
        <v>North</v>
      </c>
    </row>
    <row r="76" spans="1:6" x14ac:dyDescent="0.4">
      <c r="A76">
        <v>8</v>
      </c>
      <c r="B76" s="8">
        <v>46038</v>
      </c>
      <c r="C76" s="10">
        <v>2999</v>
      </c>
      <c r="D76" s="10">
        <v>1</v>
      </c>
      <c r="E76" t="str">
        <f>IF(AND(C76&gt;5000,F76&lt;&gt;"East"),"High-Value Merchant Day","")</f>
        <v/>
      </c>
      <c r="F76" t="str">
        <f>_xlfn.XLOOKUP(A76,Merchants!A:A,Merchants!D:D)</f>
        <v>North</v>
      </c>
    </row>
    <row r="77" spans="1:6" x14ac:dyDescent="0.4">
      <c r="A77">
        <v>8</v>
      </c>
      <c r="B77" s="8">
        <v>46039</v>
      </c>
      <c r="C77" s="10">
        <v>348</v>
      </c>
      <c r="D77" s="10">
        <v>2</v>
      </c>
      <c r="E77" t="str">
        <f>IF(AND(C77&gt;5000,F77&lt;&gt;"East"),"High-Value Merchant Day","")</f>
        <v/>
      </c>
      <c r="F77" t="str">
        <f>_xlfn.XLOOKUP(A77,Merchants!A:A,Merchants!D:D)</f>
        <v>North</v>
      </c>
    </row>
    <row r="78" spans="1:6" x14ac:dyDescent="0.4">
      <c r="A78">
        <v>8</v>
      </c>
      <c r="B78" s="8">
        <v>46040</v>
      </c>
      <c r="C78" s="10">
        <v>499</v>
      </c>
      <c r="D78" s="10">
        <v>1</v>
      </c>
      <c r="E78" t="str">
        <f>IF(AND(C78&gt;5000,F78&lt;&gt;"East"),"High-Value Merchant Day","")</f>
        <v/>
      </c>
      <c r="F78" t="str">
        <f>_xlfn.XLOOKUP(A78,Merchants!A:A,Merchants!D:D)</f>
        <v>North</v>
      </c>
    </row>
    <row r="79" spans="1:6" x14ac:dyDescent="0.4">
      <c r="A79">
        <v>8</v>
      </c>
      <c r="B79" s="8">
        <v>46041</v>
      </c>
      <c r="C79" s="10">
        <v>99</v>
      </c>
      <c r="D79" s="10">
        <v>1</v>
      </c>
      <c r="E79" t="str">
        <f>IF(AND(C79&gt;5000,F79&lt;&gt;"East"),"High-Value Merchant Day","")</f>
        <v/>
      </c>
      <c r="F79" t="str">
        <f>_xlfn.XLOOKUP(A79,Merchants!A:A,Merchants!D:D)</f>
        <v>North</v>
      </c>
    </row>
    <row r="80" spans="1:6" x14ac:dyDescent="0.4">
      <c r="A80">
        <v>8</v>
      </c>
      <c r="B80" s="8">
        <v>46048</v>
      </c>
      <c r="C80" s="10">
        <v>598</v>
      </c>
      <c r="D80" s="10">
        <v>2</v>
      </c>
      <c r="E80" t="str">
        <f>IF(AND(C80&gt;5000,F80&lt;&gt;"East"),"High-Value Merchant Day","")</f>
        <v/>
      </c>
      <c r="F80" t="str">
        <f>_xlfn.XLOOKUP(A80,Merchants!A:A,Merchants!D:D)</f>
        <v>North</v>
      </c>
    </row>
    <row r="81" spans="1:6" x14ac:dyDescent="0.4">
      <c r="A81">
        <v>8</v>
      </c>
      <c r="B81" s="8">
        <v>46049</v>
      </c>
      <c r="C81" s="10">
        <v>1499</v>
      </c>
      <c r="D81" s="10">
        <v>1</v>
      </c>
      <c r="E81" t="str">
        <f>IF(AND(C81&gt;5000,F81&lt;&gt;"East"),"High-Value Merchant Day","")</f>
        <v/>
      </c>
      <c r="F81" t="str">
        <f>_xlfn.XLOOKUP(A81,Merchants!A:A,Merchants!D:D)</f>
        <v>North</v>
      </c>
    </row>
    <row r="82" spans="1:6" x14ac:dyDescent="0.4">
      <c r="A82">
        <v>8</v>
      </c>
      <c r="B82" s="8">
        <v>46052</v>
      </c>
      <c r="C82" s="10">
        <v>99</v>
      </c>
      <c r="D82" s="10">
        <v>1</v>
      </c>
      <c r="E82" t="str">
        <f>IF(AND(C82&gt;5000,F82&lt;&gt;"East"),"High-Value Merchant Day","")</f>
        <v/>
      </c>
      <c r="F82" t="str">
        <f>_xlfn.XLOOKUP(A82,Merchants!A:A,Merchants!D:D)</f>
        <v>North</v>
      </c>
    </row>
    <row r="83" spans="1:6" x14ac:dyDescent="0.4">
      <c r="A83">
        <v>9</v>
      </c>
      <c r="B83" s="8">
        <v>46023</v>
      </c>
      <c r="C83" s="10">
        <v>499</v>
      </c>
      <c r="D83" s="10">
        <v>1</v>
      </c>
      <c r="E83" t="str">
        <f>IF(AND(C83&gt;5000,F83&lt;&gt;"East"),"High-Value Merchant Day","")</f>
        <v/>
      </c>
      <c r="F83" t="str">
        <f>_xlfn.XLOOKUP(A83,Merchants!A:A,Merchants!D:D)</f>
        <v>North</v>
      </c>
    </row>
    <row r="84" spans="1:6" x14ac:dyDescent="0.4">
      <c r="A84">
        <v>9</v>
      </c>
      <c r="B84" s="8">
        <v>46026</v>
      </c>
      <c r="C84" s="10">
        <v>499</v>
      </c>
      <c r="D84" s="10">
        <v>1</v>
      </c>
      <c r="E84" t="str">
        <f>IF(AND(C84&gt;5000,F84&lt;&gt;"East"),"High-Value Merchant Day","")</f>
        <v/>
      </c>
      <c r="F84" t="str">
        <f>_xlfn.XLOOKUP(A84,Merchants!A:A,Merchants!D:D)</f>
        <v>North</v>
      </c>
    </row>
    <row r="85" spans="1:6" x14ac:dyDescent="0.4">
      <c r="A85">
        <v>9</v>
      </c>
      <c r="B85" s="8">
        <v>46027</v>
      </c>
      <c r="C85" s="10">
        <v>149</v>
      </c>
      <c r="D85" s="10">
        <v>1</v>
      </c>
      <c r="E85" t="str">
        <f>IF(AND(C85&gt;5000,F85&lt;&gt;"East"),"High-Value Merchant Day","")</f>
        <v/>
      </c>
      <c r="F85" t="str">
        <f>_xlfn.XLOOKUP(A85,Merchants!A:A,Merchants!D:D)</f>
        <v>North</v>
      </c>
    </row>
    <row r="86" spans="1:6" x14ac:dyDescent="0.4">
      <c r="A86">
        <v>9</v>
      </c>
      <c r="B86" s="8">
        <v>46028</v>
      </c>
      <c r="C86" s="10">
        <v>149</v>
      </c>
      <c r="D86" s="10">
        <v>1</v>
      </c>
      <c r="E86" t="str">
        <f>IF(AND(C86&gt;5000,F86&lt;&gt;"East"),"High-Value Merchant Day","")</f>
        <v/>
      </c>
      <c r="F86" t="str">
        <f>_xlfn.XLOOKUP(A86,Merchants!A:A,Merchants!D:D)</f>
        <v>North</v>
      </c>
    </row>
    <row r="87" spans="1:6" x14ac:dyDescent="0.4">
      <c r="A87">
        <v>9</v>
      </c>
      <c r="B87" s="8">
        <v>46031</v>
      </c>
      <c r="C87" s="10">
        <v>99</v>
      </c>
      <c r="D87" s="10">
        <v>1</v>
      </c>
      <c r="E87" t="str">
        <f>IF(AND(C87&gt;5000,F87&lt;&gt;"East"),"High-Value Merchant Day","")</f>
        <v/>
      </c>
      <c r="F87" t="str">
        <f>_xlfn.XLOOKUP(A87,Merchants!A:A,Merchants!D:D)</f>
        <v>North</v>
      </c>
    </row>
    <row r="88" spans="1:6" x14ac:dyDescent="0.4">
      <c r="A88">
        <v>9</v>
      </c>
      <c r="B88" s="8">
        <v>46032</v>
      </c>
      <c r="C88" s="10">
        <v>49</v>
      </c>
      <c r="D88" s="10">
        <v>1</v>
      </c>
      <c r="E88" t="str">
        <f>IF(AND(C88&gt;5000,F88&lt;&gt;"East"),"High-Value Merchant Day","")</f>
        <v/>
      </c>
      <c r="F88" t="str">
        <f>_xlfn.XLOOKUP(A88,Merchants!A:A,Merchants!D:D)</f>
        <v>North</v>
      </c>
    </row>
    <row r="89" spans="1:6" x14ac:dyDescent="0.4">
      <c r="A89">
        <v>9</v>
      </c>
      <c r="B89" s="8">
        <v>46034</v>
      </c>
      <c r="C89" s="10">
        <v>299</v>
      </c>
      <c r="D89" s="10">
        <v>1</v>
      </c>
      <c r="E89" t="str">
        <f>IF(AND(C89&gt;5000,F89&lt;&gt;"East"),"High-Value Merchant Day","")</f>
        <v/>
      </c>
      <c r="F89" t="str">
        <f>_xlfn.XLOOKUP(A89,Merchants!A:A,Merchants!D:D)</f>
        <v>North</v>
      </c>
    </row>
    <row r="90" spans="1:6" x14ac:dyDescent="0.4">
      <c r="A90">
        <v>9</v>
      </c>
      <c r="B90" s="8">
        <v>46037</v>
      </c>
      <c r="C90" s="10">
        <v>148</v>
      </c>
      <c r="D90" s="10">
        <v>2</v>
      </c>
      <c r="E90" t="str">
        <f>IF(AND(C90&gt;5000,F90&lt;&gt;"East"),"High-Value Merchant Day","")</f>
        <v/>
      </c>
      <c r="F90" t="str">
        <f>_xlfn.XLOOKUP(A90,Merchants!A:A,Merchants!D:D)</f>
        <v>North</v>
      </c>
    </row>
    <row r="91" spans="1:6" x14ac:dyDescent="0.4">
      <c r="A91">
        <v>9</v>
      </c>
      <c r="B91" s="8">
        <v>46039</v>
      </c>
      <c r="C91" s="10">
        <v>248</v>
      </c>
      <c r="D91" s="10">
        <v>2</v>
      </c>
      <c r="E91" t="str">
        <f>IF(AND(C91&gt;5000,F91&lt;&gt;"East"),"High-Value Merchant Day","")</f>
        <v/>
      </c>
      <c r="F91" t="str">
        <f>_xlfn.XLOOKUP(A91,Merchants!A:A,Merchants!D:D)</f>
        <v>North</v>
      </c>
    </row>
    <row r="92" spans="1:6" x14ac:dyDescent="0.4">
      <c r="A92">
        <v>9</v>
      </c>
      <c r="B92" s="8">
        <v>46040</v>
      </c>
      <c r="C92" s="10">
        <v>299</v>
      </c>
      <c r="D92" s="10">
        <v>1</v>
      </c>
      <c r="E92" t="str">
        <f>IF(AND(C92&gt;5000,F92&lt;&gt;"East"),"High-Value Merchant Day","")</f>
        <v/>
      </c>
      <c r="F92" t="str">
        <f>_xlfn.XLOOKUP(A92,Merchants!A:A,Merchants!D:D)</f>
        <v>North</v>
      </c>
    </row>
    <row r="93" spans="1:6" x14ac:dyDescent="0.4">
      <c r="A93">
        <v>9</v>
      </c>
      <c r="B93" s="8">
        <v>46041</v>
      </c>
      <c r="C93" s="10">
        <v>299</v>
      </c>
      <c r="D93" s="10">
        <v>1</v>
      </c>
      <c r="E93" t="str">
        <f>IF(AND(C93&gt;5000,F93&lt;&gt;"East"),"High-Value Merchant Day","")</f>
        <v/>
      </c>
      <c r="F93" t="str">
        <f>_xlfn.XLOOKUP(A93,Merchants!A:A,Merchants!D:D)</f>
        <v>North</v>
      </c>
    </row>
    <row r="94" spans="1:6" x14ac:dyDescent="0.4">
      <c r="A94">
        <v>9</v>
      </c>
      <c r="B94" s="8">
        <v>46044</v>
      </c>
      <c r="C94" s="10">
        <v>1298</v>
      </c>
      <c r="D94" s="10">
        <v>2</v>
      </c>
      <c r="E94" t="str">
        <f>IF(AND(C94&gt;5000,F94&lt;&gt;"East"),"High-Value Merchant Day","")</f>
        <v/>
      </c>
      <c r="F94" t="str">
        <f>_xlfn.XLOOKUP(A94,Merchants!A:A,Merchants!D:D)</f>
        <v>North</v>
      </c>
    </row>
    <row r="95" spans="1:6" x14ac:dyDescent="0.4">
      <c r="A95">
        <v>9</v>
      </c>
      <c r="B95" s="8">
        <v>46045</v>
      </c>
      <c r="C95" s="10">
        <v>898</v>
      </c>
      <c r="D95" s="10">
        <v>2</v>
      </c>
      <c r="E95" t="str">
        <f>IF(AND(C95&gt;5000,F95&lt;&gt;"East"),"High-Value Merchant Day","")</f>
        <v/>
      </c>
      <c r="F95" t="str">
        <f>_xlfn.XLOOKUP(A95,Merchants!A:A,Merchants!D:D)</f>
        <v>North</v>
      </c>
    </row>
    <row r="96" spans="1:6" x14ac:dyDescent="0.4">
      <c r="A96">
        <v>9</v>
      </c>
      <c r="B96" s="8">
        <v>46051</v>
      </c>
      <c r="C96" s="10">
        <v>49</v>
      </c>
      <c r="D96" s="10">
        <v>1</v>
      </c>
      <c r="E96" t="str">
        <f>IF(AND(C96&gt;5000,F96&lt;&gt;"East"),"High-Value Merchant Day","")</f>
        <v/>
      </c>
      <c r="F96" t="str">
        <f>_xlfn.XLOOKUP(A96,Merchants!A:A,Merchants!D:D)</f>
        <v>North</v>
      </c>
    </row>
    <row r="97" spans="1:6" x14ac:dyDescent="0.4">
      <c r="A97">
        <v>10</v>
      </c>
      <c r="B97" s="8">
        <v>46027</v>
      </c>
      <c r="C97" s="10">
        <v>49</v>
      </c>
      <c r="D97" s="10">
        <v>1</v>
      </c>
      <c r="E97" t="str">
        <f>IF(AND(C97&gt;5000,F97&lt;&gt;"East"),"High-Value Merchant Day","")</f>
        <v/>
      </c>
      <c r="F97" t="str">
        <f>_xlfn.XLOOKUP(A97,Merchants!A:A,Merchants!D:D)</f>
        <v>West</v>
      </c>
    </row>
    <row r="98" spans="1:6" x14ac:dyDescent="0.4">
      <c r="A98">
        <v>10</v>
      </c>
      <c r="B98" s="8">
        <v>46030</v>
      </c>
      <c r="C98" s="10">
        <v>799</v>
      </c>
      <c r="D98" s="10">
        <v>1</v>
      </c>
      <c r="E98" t="str">
        <f>IF(AND(C98&gt;5000,F98&lt;&gt;"East"),"High-Value Merchant Day","")</f>
        <v/>
      </c>
      <c r="F98" t="str">
        <f>_xlfn.XLOOKUP(A98,Merchants!A:A,Merchants!D:D)</f>
        <v>West</v>
      </c>
    </row>
    <row r="99" spans="1:6" x14ac:dyDescent="0.4">
      <c r="A99">
        <v>10</v>
      </c>
      <c r="B99" s="8">
        <v>46033</v>
      </c>
      <c r="C99" s="10">
        <v>98</v>
      </c>
      <c r="D99" s="10">
        <v>2</v>
      </c>
      <c r="E99" t="str">
        <f>IF(AND(C99&gt;5000,F99&lt;&gt;"East"),"High-Value Merchant Day","")</f>
        <v/>
      </c>
      <c r="F99" t="str">
        <f>_xlfn.XLOOKUP(A99,Merchants!A:A,Merchants!D:D)</f>
        <v>West</v>
      </c>
    </row>
    <row r="100" spans="1:6" x14ac:dyDescent="0.4">
      <c r="A100">
        <v>10</v>
      </c>
      <c r="B100" s="8">
        <v>46034</v>
      </c>
      <c r="C100" s="10">
        <v>399</v>
      </c>
      <c r="D100" s="10">
        <v>1</v>
      </c>
      <c r="E100" t="str">
        <f>IF(AND(C100&gt;5000,F100&lt;&gt;"East"),"High-Value Merchant Day","")</f>
        <v/>
      </c>
      <c r="F100" t="str">
        <f>_xlfn.XLOOKUP(A100,Merchants!A:A,Merchants!D:D)</f>
        <v>West</v>
      </c>
    </row>
    <row r="101" spans="1:6" x14ac:dyDescent="0.4">
      <c r="A101">
        <v>10</v>
      </c>
      <c r="B101" s="8">
        <v>46035</v>
      </c>
      <c r="C101" s="10">
        <v>1499</v>
      </c>
      <c r="D101" s="10">
        <v>1</v>
      </c>
      <c r="E101" t="str">
        <f>IF(AND(C101&gt;5000,F101&lt;&gt;"East"),"High-Value Merchant Day","")</f>
        <v/>
      </c>
      <c r="F101" t="str">
        <f>_xlfn.XLOOKUP(A101,Merchants!A:A,Merchants!D:D)</f>
        <v>West</v>
      </c>
    </row>
    <row r="102" spans="1:6" x14ac:dyDescent="0.4">
      <c r="A102">
        <v>10</v>
      </c>
      <c r="B102" s="8">
        <v>46036</v>
      </c>
      <c r="C102" s="10">
        <v>499</v>
      </c>
      <c r="D102" s="10">
        <v>1</v>
      </c>
      <c r="E102" t="str">
        <f>IF(AND(C102&gt;5000,F102&lt;&gt;"East"),"High-Value Merchant Day","")</f>
        <v/>
      </c>
      <c r="F102" t="str">
        <f>_xlfn.XLOOKUP(A102,Merchants!A:A,Merchants!D:D)</f>
        <v>West</v>
      </c>
    </row>
    <row r="103" spans="1:6" x14ac:dyDescent="0.4">
      <c r="A103">
        <v>10</v>
      </c>
      <c r="B103" s="8">
        <v>46037</v>
      </c>
      <c r="C103" s="10">
        <v>2999</v>
      </c>
      <c r="D103" s="10">
        <v>1</v>
      </c>
      <c r="E103" t="str">
        <f>IF(AND(C103&gt;5000,F103&lt;&gt;"East"),"High-Value Merchant Day","")</f>
        <v/>
      </c>
      <c r="F103" t="str">
        <f>_xlfn.XLOOKUP(A103,Merchants!A:A,Merchants!D:D)</f>
        <v>West</v>
      </c>
    </row>
    <row r="104" spans="1:6" x14ac:dyDescent="0.4">
      <c r="A104">
        <v>10</v>
      </c>
      <c r="B104" s="8">
        <v>46038</v>
      </c>
      <c r="C104" s="10">
        <v>49</v>
      </c>
      <c r="D104" s="10">
        <v>1</v>
      </c>
      <c r="E104" t="str">
        <f>IF(AND(C104&gt;5000,F104&lt;&gt;"East"),"High-Value Merchant Day","")</f>
        <v/>
      </c>
      <c r="F104" t="str">
        <f>_xlfn.XLOOKUP(A104,Merchants!A:A,Merchants!D:D)</f>
        <v>West</v>
      </c>
    </row>
    <row r="105" spans="1:6" x14ac:dyDescent="0.4">
      <c r="A105">
        <v>10</v>
      </c>
      <c r="B105" s="8">
        <v>46041</v>
      </c>
      <c r="C105" s="10">
        <v>499</v>
      </c>
      <c r="D105" s="10">
        <v>1</v>
      </c>
      <c r="E105" t="str">
        <f>IF(AND(C105&gt;5000,F105&lt;&gt;"East"),"High-Value Merchant Day","")</f>
        <v/>
      </c>
      <c r="F105" t="str">
        <f>_xlfn.XLOOKUP(A105,Merchants!A:A,Merchants!D:D)</f>
        <v>West</v>
      </c>
    </row>
    <row r="106" spans="1:6" x14ac:dyDescent="0.4">
      <c r="A106">
        <v>10</v>
      </c>
      <c r="B106" s="8">
        <v>46042</v>
      </c>
      <c r="C106" s="10">
        <v>4999</v>
      </c>
      <c r="D106" s="10">
        <v>1</v>
      </c>
      <c r="E106" t="str">
        <f>IF(AND(C106&gt;5000,F106&lt;&gt;"East"),"High-Value Merchant Day","")</f>
        <v/>
      </c>
      <c r="F106" t="str">
        <f>_xlfn.XLOOKUP(A106,Merchants!A:A,Merchants!D:D)</f>
        <v>West</v>
      </c>
    </row>
    <row r="107" spans="1:6" x14ac:dyDescent="0.4">
      <c r="A107">
        <v>10</v>
      </c>
      <c r="B107" s="8">
        <v>46043</v>
      </c>
      <c r="C107" s="10">
        <v>398</v>
      </c>
      <c r="D107" s="10">
        <v>2</v>
      </c>
      <c r="E107" t="str">
        <f>IF(AND(C107&gt;5000,F107&lt;&gt;"East"),"High-Value Merchant Day","")</f>
        <v/>
      </c>
      <c r="F107" t="str">
        <f>_xlfn.XLOOKUP(A107,Merchants!A:A,Merchants!D:D)</f>
        <v>West</v>
      </c>
    </row>
    <row r="108" spans="1:6" x14ac:dyDescent="0.4">
      <c r="A108">
        <v>10</v>
      </c>
      <c r="B108" s="8">
        <v>46051</v>
      </c>
      <c r="C108" s="10">
        <v>799</v>
      </c>
      <c r="D108" s="10">
        <v>1</v>
      </c>
      <c r="E108" t="str">
        <f>IF(AND(C108&gt;5000,F108&lt;&gt;"East"),"High-Value Merchant Day","")</f>
        <v/>
      </c>
      <c r="F108" t="str">
        <f>_xlfn.XLOOKUP(A108,Merchants!A:A,Merchants!D:D)</f>
        <v>West</v>
      </c>
    </row>
    <row r="109" spans="1:6" x14ac:dyDescent="0.4">
      <c r="A109">
        <v>11</v>
      </c>
      <c r="B109" s="8">
        <v>46026</v>
      </c>
      <c r="C109" s="10">
        <v>1499</v>
      </c>
      <c r="D109" s="10">
        <v>1</v>
      </c>
      <c r="E109" t="str">
        <f>IF(AND(C109&gt;5000,F109&lt;&gt;"East"),"High-Value Merchant Day","")</f>
        <v/>
      </c>
      <c r="F109" t="str">
        <f>_xlfn.XLOOKUP(A109,Merchants!A:A,Merchants!D:D)</f>
        <v>North</v>
      </c>
    </row>
    <row r="110" spans="1:6" x14ac:dyDescent="0.4">
      <c r="A110">
        <v>11</v>
      </c>
      <c r="B110" s="8">
        <v>46028</v>
      </c>
      <c r="C110" s="10">
        <v>1499</v>
      </c>
      <c r="D110" s="10">
        <v>1</v>
      </c>
      <c r="E110" t="str">
        <f>IF(AND(C110&gt;5000,F110&lt;&gt;"East"),"High-Value Merchant Day","")</f>
        <v/>
      </c>
      <c r="F110" t="str">
        <f>_xlfn.XLOOKUP(A110,Merchants!A:A,Merchants!D:D)</f>
        <v>North</v>
      </c>
    </row>
    <row r="111" spans="1:6" x14ac:dyDescent="0.4">
      <c r="A111">
        <v>11</v>
      </c>
      <c r="B111" s="8">
        <v>46029</v>
      </c>
      <c r="C111" s="10">
        <v>49</v>
      </c>
      <c r="D111" s="10">
        <v>1</v>
      </c>
      <c r="E111" t="str">
        <f>IF(AND(C111&gt;5000,F111&lt;&gt;"East"),"High-Value Merchant Day","")</f>
        <v/>
      </c>
      <c r="F111" t="str">
        <f>_xlfn.XLOOKUP(A111,Merchants!A:A,Merchants!D:D)</f>
        <v>North</v>
      </c>
    </row>
    <row r="112" spans="1:6" x14ac:dyDescent="0.4">
      <c r="A112">
        <v>11</v>
      </c>
      <c r="B112" s="8">
        <v>46033</v>
      </c>
      <c r="C112" s="10">
        <v>4999</v>
      </c>
      <c r="D112" s="10">
        <v>1</v>
      </c>
      <c r="E112" t="str">
        <f>IF(AND(C112&gt;5000,F112&lt;&gt;"East"),"High-Value Merchant Day","")</f>
        <v/>
      </c>
      <c r="F112" t="str">
        <f>_xlfn.XLOOKUP(A112,Merchants!A:A,Merchants!D:D)</f>
        <v>North</v>
      </c>
    </row>
    <row r="113" spans="1:6" x14ac:dyDescent="0.4">
      <c r="A113">
        <v>11</v>
      </c>
      <c r="B113" s="8">
        <v>46040</v>
      </c>
      <c r="C113" s="10">
        <v>499</v>
      </c>
      <c r="D113" s="10">
        <v>1</v>
      </c>
      <c r="E113" t="str">
        <f>IF(AND(C113&gt;5000,F113&lt;&gt;"East"),"High-Value Merchant Day","")</f>
        <v/>
      </c>
      <c r="F113" t="str">
        <f>_xlfn.XLOOKUP(A113,Merchants!A:A,Merchants!D:D)</f>
        <v>North</v>
      </c>
    </row>
    <row r="114" spans="1:6" x14ac:dyDescent="0.4">
      <c r="A114">
        <v>11</v>
      </c>
      <c r="B114" s="8">
        <v>46042</v>
      </c>
      <c r="C114" s="10">
        <v>299</v>
      </c>
      <c r="D114" s="10">
        <v>1</v>
      </c>
      <c r="E114" t="str">
        <f>IF(AND(C114&gt;5000,F114&lt;&gt;"East"),"High-Value Merchant Day","")</f>
        <v/>
      </c>
      <c r="F114" t="str">
        <f>_xlfn.XLOOKUP(A114,Merchants!A:A,Merchants!D:D)</f>
        <v>North</v>
      </c>
    </row>
    <row r="115" spans="1:6" x14ac:dyDescent="0.4">
      <c r="A115">
        <v>11</v>
      </c>
      <c r="B115" s="8">
        <v>46043</v>
      </c>
      <c r="C115" s="10">
        <v>149</v>
      </c>
      <c r="D115" s="10">
        <v>1</v>
      </c>
      <c r="E115" t="str">
        <f>IF(AND(C115&gt;5000,F115&lt;&gt;"East"),"High-Value Merchant Day","")</f>
        <v/>
      </c>
      <c r="F115" t="str">
        <f>_xlfn.XLOOKUP(A115,Merchants!A:A,Merchants!D:D)</f>
        <v>North</v>
      </c>
    </row>
    <row r="116" spans="1:6" x14ac:dyDescent="0.4">
      <c r="A116">
        <v>11</v>
      </c>
      <c r="B116" s="8">
        <v>46046</v>
      </c>
      <c r="C116" s="10">
        <v>1798</v>
      </c>
      <c r="D116" s="10">
        <v>2</v>
      </c>
      <c r="E116" t="str">
        <f>IF(AND(C116&gt;5000,F116&lt;&gt;"East"),"High-Value Merchant Day","")</f>
        <v/>
      </c>
      <c r="F116" t="str">
        <f>_xlfn.XLOOKUP(A116,Merchants!A:A,Merchants!D:D)</f>
        <v>North</v>
      </c>
    </row>
    <row r="117" spans="1:6" x14ac:dyDescent="0.4">
      <c r="A117">
        <v>11</v>
      </c>
      <c r="B117" s="8">
        <v>46051</v>
      </c>
      <c r="C117" s="10">
        <v>149</v>
      </c>
      <c r="D117" s="10">
        <v>1</v>
      </c>
      <c r="E117" t="str">
        <f>IF(AND(C117&gt;5000,F117&lt;&gt;"East"),"High-Value Merchant Day","")</f>
        <v/>
      </c>
      <c r="F117" t="str">
        <f>_xlfn.XLOOKUP(A117,Merchants!A:A,Merchants!D:D)</f>
        <v>North</v>
      </c>
    </row>
    <row r="118" spans="1:6" x14ac:dyDescent="0.4">
      <c r="A118">
        <v>12</v>
      </c>
      <c r="B118" s="8">
        <v>46023</v>
      </c>
      <c r="C118" s="10">
        <v>548</v>
      </c>
      <c r="D118" s="10">
        <v>2</v>
      </c>
      <c r="E118" t="str">
        <f>IF(AND(C118&gt;5000,F118&lt;&gt;"East"),"High-Value Merchant Day","")</f>
        <v/>
      </c>
      <c r="F118" t="str">
        <f>_xlfn.XLOOKUP(A118,Merchants!A:A,Merchants!D:D)</f>
        <v>East</v>
      </c>
    </row>
    <row r="119" spans="1:6" x14ac:dyDescent="0.4">
      <c r="A119">
        <v>12</v>
      </c>
      <c r="B119" s="8">
        <v>46031</v>
      </c>
      <c r="C119" s="10">
        <v>799</v>
      </c>
      <c r="D119" s="10">
        <v>1</v>
      </c>
      <c r="E119" t="str">
        <f>IF(AND(C119&gt;5000,F119&lt;&gt;"East"),"High-Value Merchant Day","")</f>
        <v/>
      </c>
      <c r="F119" t="str">
        <f>_xlfn.XLOOKUP(A119,Merchants!A:A,Merchants!D:D)</f>
        <v>East</v>
      </c>
    </row>
    <row r="120" spans="1:6" x14ac:dyDescent="0.4">
      <c r="A120">
        <v>12</v>
      </c>
      <c r="B120" s="8">
        <v>46034</v>
      </c>
      <c r="C120" s="10">
        <v>1998</v>
      </c>
      <c r="D120" s="10">
        <v>2</v>
      </c>
      <c r="E120" t="str">
        <f>IF(AND(C120&gt;5000,F120&lt;&gt;"East"),"High-Value Merchant Day","")</f>
        <v/>
      </c>
      <c r="F120" t="str">
        <f>_xlfn.XLOOKUP(A120,Merchants!A:A,Merchants!D:D)</f>
        <v>East</v>
      </c>
    </row>
    <row r="121" spans="1:6" x14ac:dyDescent="0.4">
      <c r="A121">
        <v>12</v>
      </c>
      <c r="B121" s="8">
        <v>46036</v>
      </c>
      <c r="C121" s="10">
        <v>548</v>
      </c>
      <c r="D121" s="10">
        <v>2</v>
      </c>
      <c r="E121" t="str">
        <f>IF(AND(C121&gt;5000,F121&lt;&gt;"East"),"High-Value Merchant Day","")</f>
        <v/>
      </c>
      <c r="F121" t="str">
        <f>_xlfn.XLOOKUP(A121,Merchants!A:A,Merchants!D:D)</f>
        <v>East</v>
      </c>
    </row>
    <row r="122" spans="1:6" x14ac:dyDescent="0.4">
      <c r="A122">
        <v>12</v>
      </c>
      <c r="B122" s="8">
        <v>46040</v>
      </c>
      <c r="C122" s="10">
        <v>799</v>
      </c>
      <c r="D122" s="10">
        <v>1</v>
      </c>
      <c r="E122" t="str">
        <f>IF(AND(C122&gt;5000,F122&lt;&gt;"East"),"High-Value Merchant Day","")</f>
        <v/>
      </c>
      <c r="F122" t="str">
        <f>_xlfn.XLOOKUP(A122,Merchants!A:A,Merchants!D:D)</f>
        <v>East</v>
      </c>
    </row>
    <row r="123" spans="1:6" x14ac:dyDescent="0.4">
      <c r="A123">
        <v>12</v>
      </c>
      <c r="B123" s="8">
        <v>46044</v>
      </c>
      <c r="C123" s="10">
        <v>99</v>
      </c>
      <c r="D123" s="10">
        <v>1</v>
      </c>
      <c r="E123" t="str">
        <f>IF(AND(C123&gt;5000,F123&lt;&gt;"East"),"High-Value Merchant Day","")</f>
        <v/>
      </c>
      <c r="F123" t="str">
        <f>_xlfn.XLOOKUP(A123,Merchants!A:A,Merchants!D:D)</f>
        <v>East</v>
      </c>
    </row>
    <row r="124" spans="1:6" x14ac:dyDescent="0.4">
      <c r="A124">
        <v>12</v>
      </c>
      <c r="B124" s="8">
        <v>46045</v>
      </c>
      <c r="C124" s="10">
        <v>448</v>
      </c>
      <c r="D124" s="10">
        <v>2</v>
      </c>
      <c r="E124" t="str">
        <f>IF(AND(C124&gt;5000,F124&lt;&gt;"East"),"High-Value Merchant Day","")</f>
        <v/>
      </c>
      <c r="F124" t="str">
        <f>_xlfn.XLOOKUP(A124,Merchants!A:A,Merchants!D:D)</f>
        <v>East</v>
      </c>
    </row>
    <row r="125" spans="1:6" x14ac:dyDescent="0.4">
      <c r="A125">
        <v>12</v>
      </c>
      <c r="B125" s="8">
        <v>46049</v>
      </c>
      <c r="C125" s="10">
        <v>149</v>
      </c>
      <c r="D125" s="10">
        <v>1</v>
      </c>
      <c r="E125" t="str">
        <f>IF(AND(C125&gt;5000,F125&lt;&gt;"East"),"High-Value Merchant Day","")</f>
        <v/>
      </c>
      <c r="F125" t="str">
        <f>_xlfn.XLOOKUP(A125,Merchants!A:A,Merchants!D:D)</f>
        <v>East</v>
      </c>
    </row>
    <row r="126" spans="1:6" x14ac:dyDescent="0.4">
      <c r="A126">
        <v>12</v>
      </c>
      <c r="B126" s="8">
        <v>46052</v>
      </c>
      <c r="C126" s="10">
        <v>4999</v>
      </c>
      <c r="D126" s="10">
        <v>1</v>
      </c>
      <c r="E126" t="str">
        <f>IF(AND(C126&gt;5000,F126&lt;&gt;"East"),"High-Value Merchant Day","")</f>
        <v/>
      </c>
      <c r="F126" t="str">
        <f>_xlfn.XLOOKUP(A126,Merchants!A:A,Merchants!D:D)</f>
        <v>East</v>
      </c>
    </row>
    <row r="127" spans="1:6" x14ac:dyDescent="0.4">
      <c r="A127">
        <v>13</v>
      </c>
      <c r="B127" s="8">
        <v>46030</v>
      </c>
      <c r="C127" s="10">
        <v>149</v>
      </c>
      <c r="D127" s="10">
        <v>1</v>
      </c>
      <c r="E127" t="str">
        <f>IF(AND(C127&gt;5000,F127&lt;&gt;"East"),"High-Value Merchant Day","")</f>
        <v/>
      </c>
      <c r="F127" t="str">
        <f>_xlfn.XLOOKUP(A127,Merchants!A:A,Merchants!D:D)</f>
        <v>East</v>
      </c>
    </row>
    <row r="128" spans="1:6" x14ac:dyDescent="0.4">
      <c r="A128">
        <v>13</v>
      </c>
      <c r="B128" s="8">
        <v>46031</v>
      </c>
      <c r="C128" s="10">
        <v>198</v>
      </c>
      <c r="D128" s="10">
        <v>2</v>
      </c>
      <c r="E128" t="str">
        <f>IF(AND(C128&gt;5000,F128&lt;&gt;"East"),"High-Value Merchant Day","")</f>
        <v/>
      </c>
      <c r="F128" t="str">
        <f>_xlfn.XLOOKUP(A128,Merchants!A:A,Merchants!D:D)</f>
        <v>East</v>
      </c>
    </row>
    <row r="129" spans="1:6" x14ac:dyDescent="0.4">
      <c r="A129">
        <v>13</v>
      </c>
      <c r="B129" s="8">
        <v>46032</v>
      </c>
      <c r="C129" s="10">
        <v>99</v>
      </c>
      <c r="D129" s="10">
        <v>1</v>
      </c>
      <c r="E129" t="str">
        <f>IF(AND(C129&gt;5000,F129&lt;&gt;"East"),"High-Value Merchant Day","")</f>
        <v/>
      </c>
      <c r="F129" t="str">
        <f>_xlfn.XLOOKUP(A129,Merchants!A:A,Merchants!D:D)</f>
        <v>East</v>
      </c>
    </row>
    <row r="130" spans="1:6" x14ac:dyDescent="0.4">
      <c r="A130">
        <v>13</v>
      </c>
      <c r="B130" s="8">
        <v>46036</v>
      </c>
      <c r="C130" s="10">
        <v>1499</v>
      </c>
      <c r="D130" s="10">
        <v>1</v>
      </c>
      <c r="E130" t="str">
        <f>IF(AND(C130&gt;5000,F130&lt;&gt;"East"),"High-Value Merchant Day","")</f>
        <v/>
      </c>
      <c r="F130" t="str">
        <f>_xlfn.XLOOKUP(A130,Merchants!A:A,Merchants!D:D)</f>
        <v>East</v>
      </c>
    </row>
    <row r="131" spans="1:6" x14ac:dyDescent="0.4">
      <c r="A131">
        <v>13</v>
      </c>
      <c r="B131" s="8">
        <v>46037</v>
      </c>
      <c r="C131" s="10">
        <v>49</v>
      </c>
      <c r="D131" s="10">
        <v>1</v>
      </c>
      <c r="E131" t="str">
        <f>IF(AND(C131&gt;5000,F131&lt;&gt;"East"),"High-Value Merchant Day","")</f>
        <v/>
      </c>
      <c r="F131" t="str">
        <f>_xlfn.XLOOKUP(A131,Merchants!A:A,Merchants!D:D)</f>
        <v>East</v>
      </c>
    </row>
    <row r="132" spans="1:6" x14ac:dyDescent="0.4">
      <c r="A132">
        <v>13</v>
      </c>
      <c r="B132" s="8">
        <v>46042</v>
      </c>
      <c r="C132" s="10">
        <v>4999</v>
      </c>
      <c r="D132" s="10">
        <v>1</v>
      </c>
      <c r="E132" t="str">
        <f>IF(AND(C132&gt;5000,F132&lt;&gt;"East"),"High-Value Merchant Day","")</f>
        <v/>
      </c>
      <c r="F132" t="str">
        <f>_xlfn.XLOOKUP(A132,Merchants!A:A,Merchants!D:D)</f>
        <v>East</v>
      </c>
    </row>
    <row r="133" spans="1:6" x14ac:dyDescent="0.4">
      <c r="A133">
        <v>13</v>
      </c>
      <c r="B133" s="8">
        <v>46043</v>
      </c>
      <c r="C133" s="10">
        <v>4999</v>
      </c>
      <c r="D133" s="10">
        <v>1</v>
      </c>
      <c r="E133" t="str">
        <f>IF(AND(C133&gt;5000,F133&lt;&gt;"East"),"High-Value Merchant Day","")</f>
        <v/>
      </c>
      <c r="F133" t="str">
        <f>_xlfn.XLOOKUP(A133,Merchants!A:A,Merchants!D:D)</f>
        <v>East</v>
      </c>
    </row>
    <row r="134" spans="1:6" x14ac:dyDescent="0.4">
      <c r="A134">
        <v>13</v>
      </c>
      <c r="B134" s="8">
        <v>46046</v>
      </c>
      <c r="C134" s="10">
        <v>2999</v>
      </c>
      <c r="D134" s="10">
        <v>1</v>
      </c>
      <c r="E134" t="str">
        <f>IF(AND(C134&gt;5000,F134&lt;&gt;"East"),"High-Value Merchant Day","")</f>
        <v/>
      </c>
      <c r="F134" t="str">
        <f>_xlfn.XLOOKUP(A134,Merchants!A:A,Merchants!D:D)</f>
        <v>East</v>
      </c>
    </row>
    <row r="135" spans="1:6" x14ac:dyDescent="0.4">
      <c r="A135">
        <v>13</v>
      </c>
      <c r="B135" s="8">
        <v>46048</v>
      </c>
      <c r="C135" s="10">
        <v>299</v>
      </c>
      <c r="D135" s="10">
        <v>1</v>
      </c>
      <c r="E135" t="str">
        <f>IF(AND(C135&gt;5000,F135&lt;&gt;"East"),"High-Value Merchant Day","")</f>
        <v/>
      </c>
      <c r="F135" t="str">
        <f>_xlfn.XLOOKUP(A135,Merchants!A:A,Merchants!D:D)</f>
        <v>East</v>
      </c>
    </row>
    <row r="136" spans="1:6" x14ac:dyDescent="0.4">
      <c r="A136">
        <v>13</v>
      </c>
      <c r="B136" s="8">
        <v>46049</v>
      </c>
      <c r="C136" s="10">
        <v>99</v>
      </c>
      <c r="D136" s="10">
        <v>1</v>
      </c>
      <c r="E136" t="str">
        <f>IF(AND(C136&gt;5000,F136&lt;&gt;"East"),"High-Value Merchant Day","")</f>
        <v/>
      </c>
      <c r="F136" t="str">
        <f>_xlfn.XLOOKUP(A136,Merchants!A:A,Merchants!D:D)</f>
        <v>East</v>
      </c>
    </row>
    <row r="137" spans="1:6" x14ac:dyDescent="0.4">
      <c r="A137">
        <v>13</v>
      </c>
      <c r="B137" s="8">
        <v>46050</v>
      </c>
      <c r="C137" s="10">
        <v>2999</v>
      </c>
      <c r="D137" s="10">
        <v>1</v>
      </c>
      <c r="E137" t="str">
        <f>IF(AND(C137&gt;5000,F137&lt;&gt;"East"),"High-Value Merchant Day","")</f>
        <v/>
      </c>
      <c r="F137" t="str">
        <f>_xlfn.XLOOKUP(A137,Merchants!A:A,Merchants!D:D)</f>
        <v>East</v>
      </c>
    </row>
    <row r="138" spans="1:6" x14ac:dyDescent="0.4">
      <c r="A138">
        <v>14</v>
      </c>
      <c r="B138" s="8">
        <v>46023</v>
      </c>
      <c r="C138" s="10">
        <v>299</v>
      </c>
      <c r="D138" s="10">
        <v>1</v>
      </c>
      <c r="E138" t="str">
        <f>IF(AND(C138&gt;5000,F138&lt;&gt;"East"),"High-Value Merchant Day","")</f>
        <v/>
      </c>
      <c r="F138" t="str">
        <f>_xlfn.XLOOKUP(A138,Merchants!A:A,Merchants!D:D)</f>
        <v>East</v>
      </c>
    </row>
    <row r="139" spans="1:6" x14ac:dyDescent="0.4">
      <c r="A139">
        <v>14</v>
      </c>
      <c r="B139" s="8">
        <v>46024</v>
      </c>
      <c r="C139" s="10">
        <v>1499</v>
      </c>
      <c r="D139" s="10">
        <v>1</v>
      </c>
      <c r="E139" t="str">
        <f>IF(AND(C139&gt;5000,F139&lt;&gt;"East"),"High-Value Merchant Day","")</f>
        <v/>
      </c>
      <c r="F139" t="str">
        <f>_xlfn.XLOOKUP(A139,Merchants!A:A,Merchants!D:D)</f>
        <v>East</v>
      </c>
    </row>
    <row r="140" spans="1:6" x14ac:dyDescent="0.4">
      <c r="A140">
        <v>14</v>
      </c>
      <c r="B140" s="8">
        <v>46025</v>
      </c>
      <c r="C140" s="10">
        <v>149</v>
      </c>
      <c r="D140" s="10">
        <v>1</v>
      </c>
      <c r="E140" t="str">
        <f>IF(AND(C140&gt;5000,F140&lt;&gt;"East"),"High-Value Merchant Day","")</f>
        <v/>
      </c>
      <c r="F140" t="str">
        <f>_xlfn.XLOOKUP(A140,Merchants!A:A,Merchants!D:D)</f>
        <v>East</v>
      </c>
    </row>
    <row r="141" spans="1:6" x14ac:dyDescent="0.4">
      <c r="A141">
        <v>14</v>
      </c>
      <c r="B141" s="8">
        <v>46026</v>
      </c>
      <c r="C141" s="10">
        <v>99</v>
      </c>
      <c r="D141" s="10">
        <v>1</v>
      </c>
      <c r="E141" t="str">
        <f>IF(AND(C141&gt;5000,F141&lt;&gt;"East"),"High-Value Merchant Day","")</f>
        <v/>
      </c>
      <c r="F141" t="str">
        <f>_xlfn.XLOOKUP(A141,Merchants!A:A,Merchants!D:D)</f>
        <v>East</v>
      </c>
    </row>
    <row r="142" spans="1:6" x14ac:dyDescent="0.4">
      <c r="A142">
        <v>14</v>
      </c>
      <c r="B142" s="8">
        <v>46027</v>
      </c>
      <c r="C142" s="10">
        <v>1499</v>
      </c>
      <c r="D142" s="10">
        <v>1</v>
      </c>
      <c r="E142" t="str">
        <f>IF(AND(C142&gt;5000,F142&lt;&gt;"East"),"High-Value Merchant Day","")</f>
        <v/>
      </c>
      <c r="F142" t="str">
        <f>_xlfn.XLOOKUP(A142,Merchants!A:A,Merchants!D:D)</f>
        <v>East</v>
      </c>
    </row>
    <row r="143" spans="1:6" x14ac:dyDescent="0.4">
      <c r="A143">
        <v>14</v>
      </c>
      <c r="B143" s="8">
        <v>46029</v>
      </c>
      <c r="C143" s="10">
        <v>49</v>
      </c>
      <c r="D143" s="10">
        <v>1</v>
      </c>
      <c r="E143" t="str">
        <f>IF(AND(C143&gt;5000,F143&lt;&gt;"East"),"High-Value Merchant Day","")</f>
        <v/>
      </c>
      <c r="F143" t="str">
        <f>_xlfn.XLOOKUP(A143,Merchants!A:A,Merchants!D:D)</f>
        <v>East</v>
      </c>
    </row>
    <row r="144" spans="1:6" x14ac:dyDescent="0.4">
      <c r="A144">
        <v>14</v>
      </c>
      <c r="B144" s="8">
        <v>46030</v>
      </c>
      <c r="C144" s="10">
        <v>799</v>
      </c>
      <c r="D144" s="10">
        <v>1</v>
      </c>
      <c r="E144" t="str">
        <f>IF(AND(C144&gt;5000,F144&lt;&gt;"East"),"High-Value Merchant Day","")</f>
        <v/>
      </c>
      <c r="F144" t="str">
        <f>_xlfn.XLOOKUP(A144,Merchants!A:A,Merchants!D:D)</f>
        <v>East</v>
      </c>
    </row>
    <row r="145" spans="1:6" x14ac:dyDescent="0.4">
      <c r="A145">
        <v>14</v>
      </c>
      <c r="B145" s="8">
        <v>46040</v>
      </c>
      <c r="C145" s="10">
        <v>99</v>
      </c>
      <c r="D145" s="10">
        <v>1</v>
      </c>
      <c r="E145" t="str">
        <f>IF(AND(C145&gt;5000,F145&lt;&gt;"East"),"High-Value Merchant Day","")</f>
        <v/>
      </c>
      <c r="F145" t="str">
        <f>_xlfn.XLOOKUP(A145,Merchants!A:A,Merchants!D:D)</f>
        <v>East</v>
      </c>
    </row>
    <row r="146" spans="1:6" x14ac:dyDescent="0.4">
      <c r="A146">
        <v>14</v>
      </c>
      <c r="B146" s="8">
        <v>46041</v>
      </c>
      <c r="C146" s="10">
        <v>99</v>
      </c>
      <c r="D146" s="10">
        <v>1</v>
      </c>
      <c r="E146" t="str">
        <f>IF(AND(C146&gt;5000,F146&lt;&gt;"East"),"High-Value Merchant Day","")</f>
        <v/>
      </c>
      <c r="F146" t="str">
        <f>_xlfn.XLOOKUP(A146,Merchants!A:A,Merchants!D:D)</f>
        <v>East</v>
      </c>
    </row>
    <row r="147" spans="1:6" x14ac:dyDescent="0.4">
      <c r="A147">
        <v>14</v>
      </c>
      <c r="B147" s="8">
        <v>46042</v>
      </c>
      <c r="C147" s="10">
        <v>299</v>
      </c>
      <c r="D147" s="10">
        <v>1</v>
      </c>
      <c r="E147" t="str">
        <f>IF(AND(C147&gt;5000,F147&lt;&gt;"East"),"High-Value Merchant Day","")</f>
        <v/>
      </c>
      <c r="F147" t="str">
        <f>_xlfn.XLOOKUP(A147,Merchants!A:A,Merchants!D:D)</f>
        <v>East</v>
      </c>
    </row>
    <row r="148" spans="1:6" x14ac:dyDescent="0.4">
      <c r="A148">
        <v>14</v>
      </c>
      <c r="B148" s="8">
        <v>46047</v>
      </c>
      <c r="C148" s="10">
        <v>1598</v>
      </c>
      <c r="D148" s="10">
        <v>2</v>
      </c>
      <c r="E148" t="str">
        <f>IF(AND(C148&gt;5000,F148&lt;&gt;"East"),"High-Value Merchant Day","")</f>
        <v/>
      </c>
      <c r="F148" t="str">
        <f>_xlfn.XLOOKUP(A148,Merchants!A:A,Merchants!D:D)</f>
        <v>East</v>
      </c>
    </row>
    <row r="149" spans="1:6" x14ac:dyDescent="0.4">
      <c r="A149">
        <v>15</v>
      </c>
      <c r="B149" s="8">
        <v>46023</v>
      </c>
      <c r="C149" s="10">
        <v>499</v>
      </c>
      <c r="D149" s="10">
        <v>1</v>
      </c>
      <c r="E149" t="str">
        <f>IF(AND(C149&gt;5000,F149&lt;&gt;"East"),"High-Value Merchant Day","")</f>
        <v/>
      </c>
      <c r="F149" t="str">
        <f>_xlfn.XLOOKUP(A149,Merchants!A:A,Merchants!D:D)</f>
        <v>North</v>
      </c>
    </row>
    <row r="150" spans="1:6" x14ac:dyDescent="0.4">
      <c r="A150">
        <v>15</v>
      </c>
      <c r="B150" s="8">
        <v>46029</v>
      </c>
      <c r="C150" s="10">
        <v>49</v>
      </c>
      <c r="D150" s="10">
        <v>1</v>
      </c>
      <c r="E150" t="str">
        <f>IF(AND(C150&gt;5000,F150&lt;&gt;"East"),"High-Value Merchant Day","")</f>
        <v/>
      </c>
      <c r="F150" t="str">
        <f>_xlfn.XLOOKUP(A150,Merchants!A:A,Merchants!D:D)</f>
        <v>North</v>
      </c>
    </row>
    <row r="151" spans="1:6" x14ac:dyDescent="0.4">
      <c r="A151">
        <v>15</v>
      </c>
      <c r="B151" s="8">
        <v>46032</v>
      </c>
      <c r="C151" s="10">
        <v>49</v>
      </c>
      <c r="D151" s="10">
        <v>1</v>
      </c>
      <c r="E151" t="str">
        <f>IF(AND(C151&gt;5000,F151&lt;&gt;"East"),"High-Value Merchant Day","")</f>
        <v/>
      </c>
      <c r="F151" t="str">
        <f>_xlfn.XLOOKUP(A151,Merchants!A:A,Merchants!D:D)</f>
        <v>North</v>
      </c>
    </row>
    <row r="152" spans="1:6" x14ac:dyDescent="0.4">
      <c r="A152">
        <v>15</v>
      </c>
      <c r="B152" s="8">
        <v>46035</v>
      </c>
      <c r="C152" s="10">
        <v>299</v>
      </c>
      <c r="D152" s="10">
        <v>1</v>
      </c>
      <c r="E152" t="str">
        <f>IF(AND(C152&gt;5000,F152&lt;&gt;"East"),"High-Value Merchant Day","")</f>
        <v/>
      </c>
      <c r="F152" t="str">
        <f>_xlfn.XLOOKUP(A152,Merchants!A:A,Merchants!D:D)</f>
        <v>North</v>
      </c>
    </row>
    <row r="153" spans="1:6" x14ac:dyDescent="0.4">
      <c r="A153">
        <v>15</v>
      </c>
      <c r="B153" s="8">
        <v>46036</v>
      </c>
      <c r="C153" s="10">
        <v>399</v>
      </c>
      <c r="D153" s="10">
        <v>1</v>
      </c>
      <c r="E153" t="str">
        <f>IF(AND(C153&gt;5000,F153&lt;&gt;"East"),"High-Value Merchant Day","")</f>
        <v/>
      </c>
      <c r="F153" t="str">
        <f>_xlfn.XLOOKUP(A153,Merchants!A:A,Merchants!D:D)</f>
        <v>North</v>
      </c>
    </row>
    <row r="154" spans="1:6" x14ac:dyDescent="0.4">
      <c r="A154">
        <v>15</v>
      </c>
      <c r="B154" s="8">
        <v>46041</v>
      </c>
      <c r="C154" s="10">
        <v>499</v>
      </c>
      <c r="D154" s="10">
        <v>1</v>
      </c>
      <c r="E154" t="str">
        <f>IF(AND(C154&gt;5000,F154&lt;&gt;"East"),"High-Value Merchant Day","")</f>
        <v/>
      </c>
      <c r="F154" t="str">
        <f>_xlfn.XLOOKUP(A154,Merchants!A:A,Merchants!D:D)</f>
        <v>North</v>
      </c>
    </row>
    <row r="155" spans="1:6" x14ac:dyDescent="0.4">
      <c r="A155">
        <v>15</v>
      </c>
      <c r="B155" s="8">
        <v>46046</v>
      </c>
      <c r="C155" s="10">
        <v>148</v>
      </c>
      <c r="D155" s="10">
        <v>2</v>
      </c>
      <c r="E155" t="str">
        <f>IF(AND(C155&gt;5000,F155&lt;&gt;"East"),"High-Value Merchant Day","")</f>
        <v/>
      </c>
      <c r="F155" t="str">
        <f>_xlfn.XLOOKUP(A155,Merchants!A:A,Merchants!D:D)</f>
        <v>North</v>
      </c>
    </row>
    <row r="156" spans="1:6" x14ac:dyDescent="0.4">
      <c r="A156">
        <v>15</v>
      </c>
      <c r="B156" s="8">
        <v>46048</v>
      </c>
      <c r="C156" s="10">
        <v>4999</v>
      </c>
      <c r="D156" s="10">
        <v>1</v>
      </c>
      <c r="E156" t="str">
        <f>IF(AND(C156&gt;5000,F156&lt;&gt;"East"),"High-Value Merchant Day","")</f>
        <v/>
      </c>
      <c r="F156" t="str">
        <f>_xlfn.XLOOKUP(A156,Merchants!A:A,Merchants!D:D)</f>
        <v>North</v>
      </c>
    </row>
    <row r="157" spans="1:6" x14ac:dyDescent="0.4">
      <c r="A157">
        <v>15</v>
      </c>
      <c r="B157" s="8">
        <v>46049</v>
      </c>
      <c r="C157" s="10">
        <v>799</v>
      </c>
      <c r="D157" s="10">
        <v>1</v>
      </c>
      <c r="E157" t="str">
        <f>IF(AND(C157&gt;5000,F157&lt;&gt;"East"),"High-Value Merchant Day","")</f>
        <v/>
      </c>
      <c r="F157" t="str">
        <f>_xlfn.XLOOKUP(A157,Merchants!A:A,Merchants!D:D)</f>
        <v>North</v>
      </c>
    </row>
    <row r="158" spans="1:6" x14ac:dyDescent="0.4">
      <c r="A158">
        <v>15</v>
      </c>
      <c r="B158" s="8">
        <v>46051</v>
      </c>
      <c r="C158" s="10">
        <v>98</v>
      </c>
      <c r="D158" s="10">
        <v>2</v>
      </c>
      <c r="E158" t="str">
        <f>IF(AND(C158&gt;5000,F158&lt;&gt;"East"),"High-Value Merchant Day","")</f>
        <v/>
      </c>
      <c r="F158" t="str">
        <f>_xlfn.XLOOKUP(A158,Merchants!A:A,Merchants!D:D)</f>
        <v>North</v>
      </c>
    </row>
    <row r="159" spans="1:6" x14ac:dyDescent="0.4">
      <c r="A159">
        <v>16</v>
      </c>
      <c r="B159" s="8">
        <v>46024</v>
      </c>
      <c r="C159" s="10">
        <v>499</v>
      </c>
      <c r="D159" s="10">
        <v>1</v>
      </c>
      <c r="E159" t="str">
        <f>IF(AND(C159&gt;5000,F159&lt;&gt;"East"),"High-Value Merchant Day","")</f>
        <v/>
      </c>
      <c r="F159" t="str">
        <f>_xlfn.XLOOKUP(A159,Merchants!A:A,Merchants!D:D)</f>
        <v>West</v>
      </c>
    </row>
    <row r="160" spans="1:6" x14ac:dyDescent="0.4">
      <c r="A160">
        <v>16</v>
      </c>
      <c r="B160" s="8">
        <v>46025</v>
      </c>
      <c r="C160" s="10">
        <v>99</v>
      </c>
      <c r="D160" s="10">
        <v>1</v>
      </c>
      <c r="E160" t="str">
        <f>IF(AND(C160&gt;5000,F160&lt;&gt;"East"),"High-Value Merchant Day","")</f>
        <v/>
      </c>
      <c r="F160" t="str">
        <f>_xlfn.XLOOKUP(A160,Merchants!A:A,Merchants!D:D)</f>
        <v>West</v>
      </c>
    </row>
    <row r="161" spans="1:6" x14ac:dyDescent="0.4">
      <c r="A161">
        <v>16</v>
      </c>
      <c r="B161" s="8">
        <v>46026</v>
      </c>
      <c r="C161" s="10">
        <v>49</v>
      </c>
      <c r="D161" s="10">
        <v>1</v>
      </c>
      <c r="E161" t="str">
        <f>IF(AND(C161&gt;5000,F161&lt;&gt;"East"),"High-Value Merchant Day","")</f>
        <v/>
      </c>
      <c r="F161" t="str">
        <f>_xlfn.XLOOKUP(A161,Merchants!A:A,Merchants!D:D)</f>
        <v>West</v>
      </c>
    </row>
    <row r="162" spans="1:6" x14ac:dyDescent="0.4">
      <c r="A162">
        <v>16</v>
      </c>
      <c r="B162" s="8">
        <v>46027</v>
      </c>
      <c r="C162" s="10">
        <v>149</v>
      </c>
      <c r="D162" s="10">
        <v>1</v>
      </c>
      <c r="E162" t="str">
        <f>IF(AND(C162&gt;5000,F162&lt;&gt;"East"),"High-Value Merchant Day","")</f>
        <v/>
      </c>
      <c r="F162" t="str">
        <f>_xlfn.XLOOKUP(A162,Merchants!A:A,Merchants!D:D)</f>
        <v>West</v>
      </c>
    </row>
    <row r="163" spans="1:6" x14ac:dyDescent="0.4">
      <c r="A163">
        <v>16</v>
      </c>
      <c r="B163" s="8">
        <v>46033</v>
      </c>
      <c r="C163" s="10">
        <v>499</v>
      </c>
      <c r="D163" s="10">
        <v>1</v>
      </c>
      <c r="E163" t="str">
        <f>IF(AND(C163&gt;5000,F163&lt;&gt;"East"),"High-Value Merchant Day","")</f>
        <v/>
      </c>
      <c r="F163" t="str">
        <f>_xlfn.XLOOKUP(A163,Merchants!A:A,Merchants!D:D)</f>
        <v>West</v>
      </c>
    </row>
    <row r="164" spans="1:6" x14ac:dyDescent="0.4">
      <c r="A164">
        <v>16</v>
      </c>
      <c r="B164" s="8">
        <v>46037</v>
      </c>
      <c r="C164" s="10">
        <v>2999</v>
      </c>
      <c r="D164" s="10">
        <v>1</v>
      </c>
      <c r="E164" t="str">
        <f>IF(AND(C164&gt;5000,F164&lt;&gt;"East"),"High-Value Merchant Day","")</f>
        <v/>
      </c>
      <c r="F164" t="str">
        <f>_xlfn.XLOOKUP(A164,Merchants!A:A,Merchants!D:D)</f>
        <v>West</v>
      </c>
    </row>
    <row r="165" spans="1:6" x14ac:dyDescent="0.4">
      <c r="A165">
        <v>16</v>
      </c>
      <c r="B165" s="8">
        <v>46040</v>
      </c>
      <c r="C165" s="10">
        <v>49</v>
      </c>
      <c r="D165" s="10">
        <v>1</v>
      </c>
      <c r="E165" t="str">
        <f>IF(AND(C165&gt;5000,F165&lt;&gt;"East"),"High-Value Merchant Day","")</f>
        <v/>
      </c>
      <c r="F165" t="str">
        <f>_xlfn.XLOOKUP(A165,Merchants!A:A,Merchants!D:D)</f>
        <v>West</v>
      </c>
    </row>
    <row r="166" spans="1:6" x14ac:dyDescent="0.4">
      <c r="A166">
        <v>16</v>
      </c>
      <c r="B166" s="8">
        <v>46042</v>
      </c>
      <c r="C166" s="10">
        <v>448</v>
      </c>
      <c r="D166" s="10">
        <v>2</v>
      </c>
      <c r="E166" t="str">
        <f>IF(AND(C166&gt;5000,F166&lt;&gt;"East"),"High-Value Merchant Day","")</f>
        <v/>
      </c>
      <c r="F166" t="str">
        <f>_xlfn.XLOOKUP(A166,Merchants!A:A,Merchants!D:D)</f>
        <v>West</v>
      </c>
    </row>
    <row r="167" spans="1:6" x14ac:dyDescent="0.4">
      <c r="A167">
        <v>16</v>
      </c>
      <c r="B167" s="8">
        <v>46045</v>
      </c>
      <c r="C167" s="10">
        <v>399</v>
      </c>
      <c r="D167" s="10">
        <v>1</v>
      </c>
      <c r="E167" t="str">
        <f>IF(AND(C167&gt;5000,F167&lt;&gt;"East"),"High-Value Merchant Day","")</f>
        <v/>
      </c>
      <c r="F167" t="str">
        <f>_xlfn.XLOOKUP(A167,Merchants!A:A,Merchants!D:D)</f>
        <v>West</v>
      </c>
    </row>
    <row r="168" spans="1:6" x14ac:dyDescent="0.4">
      <c r="A168">
        <v>16</v>
      </c>
      <c r="B168" s="8">
        <v>46046</v>
      </c>
      <c r="C168" s="10">
        <v>1548</v>
      </c>
      <c r="D168" s="10">
        <v>2</v>
      </c>
      <c r="E168" t="str">
        <f>IF(AND(C168&gt;5000,F168&lt;&gt;"East"),"High-Value Merchant Day","")</f>
        <v/>
      </c>
      <c r="F168" t="str">
        <f>_xlfn.XLOOKUP(A168,Merchants!A:A,Merchants!D:D)</f>
        <v>West</v>
      </c>
    </row>
    <row r="169" spans="1:6" x14ac:dyDescent="0.4">
      <c r="A169">
        <v>16</v>
      </c>
      <c r="B169" s="8">
        <v>46047</v>
      </c>
      <c r="C169" s="10">
        <v>98</v>
      </c>
      <c r="D169" s="10">
        <v>2</v>
      </c>
      <c r="E169" t="str">
        <f>IF(AND(C169&gt;5000,F169&lt;&gt;"East"),"High-Value Merchant Day","")</f>
        <v/>
      </c>
      <c r="F169" t="str">
        <f>_xlfn.XLOOKUP(A169,Merchants!A:A,Merchants!D:D)</f>
        <v>West</v>
      </c>
    </row>
    <row r="170" spans="1:6" x14ac:dyDescent="0.4">
      <c r="A170">
        <v>16</v>
      </c>
      <c r="B170" s="8">
        <v>46049</v>
      </c>
      <c r="C170" s="10">
        <v>348</v>
      </c>
      <c r="D170" s="10">
        <v>2</v>
      </c>
      <c r="E170" t="str">
        <f>IF(AND(C170&gt;5000,F170&lt;&gt;"East"),"High-Value Merchant Day","")</f>
        <v/>
      </c>
      <c r="F170" t="str">
        <f>_xlfn.XLOOKUP(A170,Merchants!A:A,Merchants!D:D)</f>
        <v>West</v>
      </c>
    </row>
    <row r="171" spans="1:6" x14ac:dyDescent="0.4">
      <c r="A171">
        <v>16</v>
      </c>
      <c r="B171" s="8">
        <v>46050</v>
      </c>
      <c r="C171" s="10">
        <v>49</v>
      </c>
      <c r="D171" s="10">
        <v>1</v>
      </c>
      <c r="E171" t="str">
        <f>IF(AND(C171&gt;5000,F171&lt;&gt;"East"),"High-Value Merchant Day","")</f>
        <v/>
      </c>
      <c r="F171" t="str">
        <f>_xlfn.XLOOKUP(A171,Merchants!A:A,Merchants!D:D)</f>
        <v>West</v>
      </c>
    </row>
    <row r="172" spans="1:6" x14ac:dyDescent="0.4">
      <c r="A172">
        <v>16</v>
      </c>
      <c r="B172" s="8">
        <v>46051</v>
      </c>
      <c r="C172" s="10">
        <v>2999</v>
      </c>
      <c r="D172" s="10">
        <v>1</v>
      </c>
      <c r="E172" t="str">
        <f>IF(AND(C172&gt;5000,F172&lt;&gt;"East"),"High-Value Merchant Day","")</f>
        <v/>
      </c>
      <c r="F172" t="str">
        <f>_xlfn.XLOOKUP(A172,Merchants!A:A,Merchants!D:D)</f>
        <v>West</v>
      </c>
    </row>
    <row r="173" spans="1:6" x14ac:dyDescent="0.4">
      <c r="A173">
        <v>16</v>
      </c>
      <c r="B173" s="8">
        <v>46052</v>
      </c>
      <c r="C173" s="10">
        <v>898</v>
      </c>
      <c r="D173" s="10">
        <v>2</v>
      </c>
      <c r="E173" t="str">
        <f>IF(AND(C173&gt;5000,F173&lt;&gt;"East"),"High-Value Merchant Day","")</f>
        <v/>
      </c>
      <c r="F173" t="str">
        <f>_xlfn.XLOOKUP(A173,Merchants!A:A,Merchants!D:D)</f>
        <v>West</v>
      </c>
    </row>
    <row r="174" spans="1:6" x14ac:dyDescent="0.4">
      <c r="A174">
        <v>17</v>
      </c>
      <c r="B174" s="8">
        <v>46023</v>
      </c>
      <c r="C174" s="10">
        <v>1499</v>
      </c>
      <c r="D174" s="10">
        <v>1</v>
      </c>
      <c r="E174" t="str">
        <f>IF(AND(C174&gt;5000,F174&lt;&gt;"East"),"High-Value Merchant Day","")</f>
        <v/>
      </c>
      <c r="F174" t="str">
        <f>_xlfn.XLOOKUP(A174,Merchants!A:A,Merchants!D:D)</f>
        <v>North</v>
      </c>
    </row>
    <row r="175" spans="1:6" x14ac:dyDescent="0.4">
      <c r="A175">
        <v>17</v>
      </c>
      <c r="B175" s="8">
        <v>46024</v>
      </c>
      <c r="C175" s="10">
        <v>299</v>
      </c>
      <c r="D175" s="10">
        <v>1</v>
      </c>
      <c r="E175" t="str">
        <f>IF(AND(C175&gt;5000,F175&lt;&gt;"East"),"High-Value Merchant Day","")</f>
        <v/>
      </c>
      <c r="F175" t="str">
        <f>_xlfn.XLOOKUP(A175,Merchants!A:A,Merchants!D:D)</f>
        <v>North</v>
      </c>
    </row>
    <row r="176" spans="1:6" x14ac:dyDescent="0.4">
      <c r="A176">
        <v>17</v>
      </c>
      <c r="B176" s="8">
        <v>46025</v>
      </c>
      <c r="C176" s="10">
        <v>398</v>
      </c>
      <c r="D176" s="10">
        <v>2</v>
      </c>
      <c r="E176" t="str">
        <f>IF(AND(C176&gt;5000,F176&lt;&gt;"East"),"High-Value Merchant Day","")</f>
        <v/>
      </c>
      <c r="F176" t="str">
        <f>_xlfn.XLOOKUP(A176,Merchants!A:A,Merchants!D:D)</f>
        <v>North</v>
      </c>
    </row>
    <row r="177" spans="1:6" x14ac:dyDescent="0.4">
      <c r="A177">
        <v>17</v>
      </c>
      <c r="B177" s="8">
        <v>46033</v>
      </c>
      <c r="C177" s="10">
        <v>7998</v>
      </c>
      <c r="D177" s="10">
        <v>2</v>
      </c>
      <c r="E177" t="str">
        <f>IF(AND(C177&gt;5000,F177&lt;&gt;"East"),"High-Value Merchant Day","")</f>
        <v>High-Value Merchant Day</v>
      </c>
      <c r="F177" t="str">
        <f>_xlfn.XLOOKUP(A177,Merchants!A:A,Merchants!D:D)</f>
        <v>North</v>
      </c>
    </row>
    <row r="178" spans="1:6" x14ac:dyDescent="0.4">
      <c r="A178">
        <v>17</v>
      </c>
      <c r="B178" s="8">
        <v>46034</v>
      </c>
      <c r="C178" s="10">
        <v>1499</v>
      </c>
      <c r="D178" s="10">
        <v>1</v>
      </c>
      <c r="E178" t="str">
        <f>IF(AND(C178&gt;5000,F178&lt;&gt;"East"),"High-Value Merchant Day","")</f>
        <v/>
      </c>
      <c r="F178" t="str">
        <f>_xlfn.XLOOKUP(A178,Merchants!A:A,Merchants!D:D)</f>
        <v>North</v>
      </c>
    </row>
    <row r="179" spans="1:6" x14ac:dyDescent="0.4">
      <c r="A179">
        <v>17</v>
      </c>
      <c r="B179" s="8">
        <v>46039</v>
      </c>
      <c r="C179" s="10">
        <v>299</v>
      </c>
      <c r="D179" s="10">
        <v>1</v>
      </c>
      <c r="E179" t="str">
        <f>IF(AND(C179&gt;5000,F179&lt;&gt;"East"),"High-Value Merchant Day","")</f>
        <v/>
      </c>
      <c r="F179" t="str">
        <f>_xlfn.XLOOKUP(A179,Merchants!A:A,Merchants!D:D)</f>
        <v>North</v>
      </c>
    </row>
    <row r="180" spans="1:6" x14ac:dyDescent="0.4">
      <c r="A180">
        <v>17</v>
      </c>
      <c r="B180" s="8">
        <v>46040</v>
      </c>
      <c r="C180" s="10">
        <v>198</v>
      </c>
      <c r="D180" s="10">
        <v>2</v>
      </c>
      <c r="E180" t="str">
        <f>IF(AND(C180&gt;5000,F180&lt;&gt;"East"),"High-Value Merchant Day","")</f>
        <v/>
      </c>
      <c r="F180" t="str">
        <f>_xlfn.XLOOKUP(A180,Merchants!A:A,Merchants!D:D)</f>
        <v>North</v>
      </c>
    </row>
    <row r="181" spans="1:6" x14ac:dyDescent="0.4">
      <c r="A181">
        <v>17</v>
      </c>
      <c r="B181" s="8">
        <v>46041</v>
      </c>
      <c r="C181" s="10">
        <v>49</v>
      </c>
      <c r="D181" s="10">
        <v>1</v>
      </c>
      <c r="E181" t="str">
        <f>IF(AND(C181&gt;5000,F181&lt;&gt;"East"),"High-Value Merchant Day","")</f>
        <v/>
      </c>
      <c r="F181" t="str">
        <f>_xlfn.XLOOKUP(A181,Merchants!A:A,Merchants!D:D)</f>
        <v>North</v>
      </c>
    </row>
    <row r="182" spans="1:6" x14ac:dyDescent="0.4">
      <c r="A182">
        <v>17</v>
      </c>
      <c r="B182" s="8">
        <v>46050</v>
      </c>
      <c r="C182" s="10">
        <v>299</v>
      </c>
      <c r="D182" s="10">
        <v>1</v>
      </c>
      <c r="E182" t="str">
        <f>IF(AND(C182&gt;5000,F182&lt;&gt;"East"),"High-Value Merchant Day","")</f>
        <v/>
      </c>
      <c r="F182" t="str">
        <f>_xlfn.XLOOKUP(A182,Merchants!A:A,Merchants!D:D)</f>
        <v>North</v>
      </c>
    </row>
    <row r="183" spans="1:6" x14ac:dyDescent="0.4">
      <c r="A183">
        <v>17</v>
      </c>
      <c r="B183" s="8">
        <v>46052</v>
      </c>
      <c r="C183" s="10">
        <v>499</v>
      </c>
      <c r="D183" s="10">
        <v>1</v>
      </c>
      <c r="E183" t="str">
        <f>IF(AND(C183&gt;5000,F183&lt;&gt;"East"),"High-Value Merchant Day","")</f>
        <v/>
      </c>
      <c r="F183" t="str">
        <f>_xlfn.XLOOKUP(A183,Merchants!A:A,Merchants!D:D)</f>
        <v>North</v>
      </c>
    </row>
    <row r="184" spans="1:6" x14ac:dyDescent="0.4">
      <c r="A184">
        <v>18</v>
      </c>
      <c r="B184" s="8">
        <v>46028</v>
      </c>
      <c r="C184" s="10">
        <v>499</v>
      </c>
      <c r="D184" s="10">
        <v>1</v>
      </c>
      <c r="E184" t="str">
        <f>IF(AND(C184&gt;5000,F184&lt;&gt;"East"),"High-Value Merchant Day","")</f>
        <v/>
      </c>
      <c r="F184" t="str">
        <f>_xlfn.XLOOKUP(A184,Merchants!A:A,Merchants!D:D)</f>
        <v>West</v>
      </c>
    </row>
    <row r="185" spans="1:6" x14ac:dyDescent="0.4">
      <c r="A185">
        <v>18</v>
      </c>
      <c r="B185" s="8">
        <v>46033</v>
      </c>
      <c r="C185" s="10">
        <v>799</v>
      </c>
      <c r="D185" s="10">
        <v>1</v>
      </c>
      <c r="E185" t="str">
        <f>IF(AND(C185&gt;5000,F185&lt;&gt;"East"),"High-Value Merchant Day","")</f>
        <v/>
      </c>
      <c r="F185" t="str">
        <f>_xlfn.XLOOKUP(A185,Merchants!A:A,Merchants!D:D)</f>
        <v>West</v>
      </c>
    </row>
    <row r="186" spans="1:6" x14ac:dyDescent="0.4">
      <c r="A186">
        <v>18</v>
      </c>
      <c r="B186" s="8">
        <v>46034</v>
      </c>
      <c r="C186" s="10">
        <v>49</v>
      </c>
      <c r="D186" s="10">
        <v>1</v>
      </c>
      <c r="E186" t="str">
        <f>IF(AND(C186&gt;5000,F186&lt;&gt;"East"),"High-Value Merchant Day","")</f>
        <v/>
      </c>
      <c r="F186" t="str">
        <f>_xlfn.XLOOKUP(A186,Merchants!A:A,Merchants!D:D)</f>
        <v>West</v>
      </c>
    </row>
    <row r="187" spans="1:6" x14ac:dyDescent="0.4">
      <c r="A187">
        <v>18</v>
      </c>
      <c r="B187" s="8">
        <v>46036</v>
      </c>
      <c r="C187" s="10">
        <v>149</v>
      </c>
      <c r="D187" s="10">
        <v>1</v>
      </c>
      <c r="E187" t="str">
        <f>IF(AND(C187&gt;5000,F187&lt;&gt;"East"),"High-Value Merchant Day","")</f>
        <v/>
      </c>
      <c r="F187" t="str">
        <f>_xlfn.XLOOKUP(A187,Merchants!A:A,Merchants!D:D)</f>
        <v>West</v>
      </c>
    </row>
    <row r="188" spans="1:6" x14ac:dyDescent="0.4">
      <c r="A188">
        <v>18</v>
      </c>
      <c r="B188" s="8">
        <v>46037</v>
      </c>
      <c r="C188" s="10">
        <v>149</v>
      </c>
      <c r="D188" s="10">
        <v>1</v>
      </c>
      <c r="E188" t="str">
        <f>IF(AND(C188&gt;5000,F188&lt;&gt;"East"),"High-Value Merchant Day","")</f>
        <v/>
      </c>
      <c r="F188" t="str">
        <f>_xlfn.XLOOKUP(A188,Merchants!A:A,Merchants!D:D)</f>
        <v>West</v>
      </c>
    </row>
    <row r="189" spans="1:6" x14ac:dyDescent="0.4">
      <c r="A189">
        <v>18</v>
      </c>
      <c r="B189" s="8">
        <v>46038</v>
      </c>
      <c r="C189" s="10">
        <v>3148</v>
      </c>
      <c r="D189" s="10">
        <v>2</v>
      </c>
      <c r="E189" t="str">
        <f>IF(AND(C189&gt;5000,F189&lt;&gt;"East"),"High-Value Merchant Day","")</f>
        <v/>
      </c>
      <c r="F189" t="str">
        <f>_xlfn.XLOOKUP(A189,Merchants!A:A,Merchants!D:D)</f>
        <v>West</v>
      </c>
    </row>
    <row r="190" spans="1:6" x14ac:dyDescent="0.4">
      <c r="A190">
        <v>18</v>
      </c>
      <c r="B190" s="8">
        <v>46040</v>
      </c>
      <c r="C190" s="10">
        <v>499</v>
      </c>
      <c r="D190" s="10">
        <v>1</v>
      </c>
      <c r="E190" t="str">
        <f>IF(AND(C190&gt;5000,F190&lt;&gt;"East"),"High-Value Merchant Day","")</f>
        <v/>
      </c>
      <c r="F190" t="str">
        <f>_xlfn.XLOOKUP(A190,Merchants!A:A,Merchants!D:D)</f>
        <v>West</v>
      </c>
    </row>
    <row r="191" spans="1:6" x14ac:dyDescent="0.4">
      <c r="A191">
        <v>18</v>
      </c>
      <c r="B191" s="8">
        <v>46042</v>
      </c>
      <c r="C191" s="10">
        <v>149</v>
      </c>
      <c r="D191" s="10">
        <v>1</v>
      </c>
      <c r="E191" t="str">
        <f>IF(AND(C191&gt;5000,F191&lt;&gt;"East"),"High-Value Merchant Day","")</f>
        <v/>
      </c>
      <c r="F191" t="str">
        <f>_xlfn.XLOOKUP(A191,Merchants!A:A,Merchants!D:D)</f>
        <v>West</v>
      </c>
    </row>
    <row r="192" spans="1:6" x14ac:dyDescent="0.4">
      <c r="A192">
        <v>18</v>
      </c>
      <c r="B192" s="8">
        <v>46047</v>
      </c>
      <c r="C192" s="10">
        <v>1648</v>
      </c>
      <c r="D192" s="10">
        <v>2</v>
      </c>
      <c r="E192" t="str">
        <f>IF(AND(C192&gt;5000,F192&lt;&gt;"East"),"High-Value Merchant Day","")</f>
        <v/>
      </c>
      <c r="F192" t="str">
        <f>_xlfn.XLOOKUP(A192,Merchants!A:A,Merchants!D:D)</f>
        <v>West</v>
      </c>
    </row>
    <row r="193" spans="1:6" x14ac:dyDescent="0.4">
      <c r="A193">
        <v>19</v>
      </c>
      <c r="B193" s="8">
        <v>46024</v>
      </c>
      <c r="C193" s="10">
        <v>149</v>
      </c>
      <c r="D193" s="10">
        <v>1</v>
      </c>
      <c r="E193" t="str">
        <f>IF(AND(C193&gt;5000,F193&lt;&gt;"East"),"High-Value Merchant Day","")</f>
        <v/>
      </c>
      <c r="F193" t="str">
        <f>_xlfn.XLOOKUP(A193,Merchants!A:A,Merchants!D:D)</f>
        <v>North</v>
      </c>
    </row>
    <row r="194" spans="1:6" x14ac:dyDescent="0.4">
      <c r="A194">
        <v>19</v>
      </c>
      <c r="B194" s="8">
        <v>46028</v>
      </c>
      <c r="C194" s="10">
        <v>499</v>
      </c>
      <c r="D194" s="10">
        <v>1</v>
      </c>
      <c r="E194" t="str">
        <f>IF(AND(C194&gt;5000,F194&lt;&gt;"East"),"High-Value Merchant Day","")</f>
        <v/>
      </c>
      <c r="F194" t="str">
        <f>_xlfn.XLOOKUP(A194,Merchants!A:A,Merchants!D:D)</f>
        <v>North</v>
      </c>
    </row>
    <row r="195" spans="1:6" x14ac:dyDescent="0.4">
      <c r="A195">
        <v>19</v>
      </c>
      <c r="B195" s="8">
        <v>46031</v>
      </c>
      <c r="C195" s="10">
        <v>99</v>
      </c>
      <c r="D195" s="10">
        <v>1</v>
      </c>
      <c r="E195" t="str">
        <f>IF(AND(C195&gt;5000,F195&lt;&gt;"East"),"High-Value Merchant Day","")</f>
        <v/>
      </c>
      <c r="F195" t="str">
        <f>_xlfn.XLOOKUP(A195,Merchants!A:A,Merchants!D:D)</f>
        <v>North</v>
      </c>
    </row>
    <row r="196" spans="1:6" x14ac:dyDescent="0.4">
      <c r="A196">
        <v>19</v>
      </c>
      <c r="B196" s="8">
        <v>46032</v>
      </c>
      <c r="C196" s="10">
        <v>2999</v>
      </c>
      <c r="D196" s="10">
        <v>1</v>
      </c>
      <c r="E196" t="str">
        <f>IF(AND(C196&gt;5000,F196&lt;&gt;"East"),"High-Value Merchant Day","")</f>
        <v/>
      </c>
      <c r="F196" t="str">
        <f>_xlfn.XLOOKUP(A196,Merchants!A:A,Merchants!D:D)</f>
        <v>North</v>
      </c>
    </row>
    <row r="197" spans="1:6" x14ac:dyDescent="0.4">
      <c r="A197">
        <v>19</v>
      </c>
      <c r="B197" s="8">
        <v>46037</v>
      </c>
      <c r="C197" s="10">
        <v>398</v>
      </c>
      <c r="D197" s="10">
        <v>2</v>
      </c>
      <c r="E197" t="str">
        <f>IF(AND(C197&gt;5000,F197&lt;&gt;"East"),"High-Value Merchant Day","")</f>
        <v/>
      </c>
      <c r="F197" t="str">
        <f>_xlfn.XLOOKUP(A197,Merchants!A:A,Merchants!D:D)</f>
        <v>North</v>
      </c>
    </row>
    <row r="198" spans="1:6" x14ac:dyDescent="0.4">
      <c r="A198">
        <v>19</v>
      </c>
      <c r="B198" s="8">
        <v>46038</v>
      </c>
      <c r="C198" s="10">
        <v>4999</v>
      </c>
      <c r="D198" s="10">
        <v>1</v>
      </c>
      <c r="E198" t="str">
        <f>IF(AND(C198&gt;5000,F198&lt;&gt;"East"),"High-Value Merchant Day","")</f>
        <v/>
      </c>
      <c r="F198" t="str">
        <f>_xlfn.XLOOKUP(A198,Merchants!A:A,Merchants!D:D)</f>
        <v>North</v>
      </c>
    </row>
    <row r="199" spans="1:6" x14ac:dyDescent="0.4">
      <c r="A199">
        <v>19</v>
      </c>
      <c r="B199" s="8">
        <v>46041</v>
      </c>
      <c r="C199" s="10">
        <v>99</v>
      </c>
      <c r="D199" s="10">
        <v>1</v>
      </c>
      <c r="E199" t="str">
        <f>IF(AND(C199&gt;5000,F199&lt;&gt;"East"),"High-Value Merchant Day","")</f>
        <v/>
      </c>
      <c r="F199" t="str">
        <f>_xlfn.XLOOKUP(A199,Merchants!A:A,Merchants!D:D)</f>
        <v>North</v>
      </c>
    </row>
    <row r="200" spans="1:6" x14ac:dyDescent="0.4">
      <c r="A200">
        <v>19</v>
      </c>
      <c r="B200" s="8">
        <v>46042</v>
      </c>
      <c r="C200" s="10">
        <v>348</v>
      </c>
      <c r="D200" s="10">
        <v>2</v>
      </c>
      <c r="E200" t="str">
        <f>IF(AND(C200&gt;5000,F200&lt;&gt;"East"),"High-Value Merchant Day","")</f>
        <v/>
      </c>
      <c r="F200" t="str">
        <f>_xlfn.XLOOKUP(A200,Merchants!A:A,Merchants!D:D)</f>
        <v>North</v>
      </c>
    </row>
    <row r="201" spans="1:6" x14ac:dyDescent="0.4">
      <c r="A201">
        <v>19</v>
      </c>
      <c r="B201" s="8">
        <v>46044</v>
      </c>
      <c r="C201" s="10">
        <v>2999</v>
      </c>
      <c r="D201" s="10">
        <v>1</v>
      </c>
      <c r="E201" t="str">
        <f>IF(AND(C201&gt;5000,F201&lt;&gt;"East"),"High-Value Merchant Day","")</f>
        <v/>
      </c>
      <c r="F201" t="str">
        <f>_xlfn.XLOOKUP(A201,Merchants!A:A,Merchants!D:D)</f>
        <v>North</v>
      </c>
    </row>
    <row r="202" spans="1:6" x14ac:dyDescent="0.4">
      <c r="A202">
        <v>19</v>
      </c>
      <c r="B202" s="8">
        <v>46046</v>
      </c>
      <c r="C202" s="10">
        <v>149</v>
      </c>
      <c r="D202" s="10">
        <v>1</v>
      </c>
      <c r="E202" t="str">
        <f>IF(AND(C202&gt;5000,F202&lt;&gt;"East"),"High-Value Merchant Day","")</f>
        <v/>
      </c>
      <c r="F202" t="str">
        <f>_xlfn.XLOOKUP(A202,Merchants!A:A,Merchants!D:D)</f>
        <v>North</v>
      </c>
    </row>
    <row r="203" spans="1:6" x14ac:dyDescent="0.4">
      <c r="A203">
        <v>19</v>
      </c>
      <c r="B203" s="8">
        <v>46047</v>
      </c>
      <c r="C203" s="10">
        <v>49</v>
      </c>
      <c r="D203" s="10">
        <v>1</v>
      </c>
      <c r="E203" t="str">
        <f>IF(AND(C203&gt;5000,F203&lt;&gt;"East"),"High-Value Merchant Day","")</f>
        <v/>
      </c>
      <c r="F203" t="str">
        <f>_xlfn.XLOOKUP(A203,Merchants!A:A,Merchants!D:D)</f>
        <v>North</v>
      </c>
    </row>
    <row r="204" spans="1:6" x14ac:dyDescent="0.4">
      <c r="A204">
        <v>19</v>
      </c>
      <c r="B204" s="8">
        <v>46048</v>
      </c>
      <c r="C204" s="10">
        <v>49</v>
      </c>
      <c r="D204" s="10">
        <v>1</v>
      </c>
      <c r="E204" t="str">
        <f>IF(AND(C204&gt;5000,F204&lt;&gt;"East"),"High-Value Merchant Day","")</f>
        <v/>
      </c>
      <c r="F204" t="str">
        <f>_xlfn.XLOOKUP(A204,Merchants!A:A,Merchants!D:D)</f>
        <v>North</v>
      </c>
    </row>
    <row r="205" spans="1:6" x14ac:dyDescent="0.4">
      <c r="A205">
        <v>20</v>
      </c>
      <c r="B205" s="8">
        <v>46024</v>
      </c>
      <c r="C205" s="10">
        <v>49</v>
      </c>
      <c r="D205" s="10">
        <v>1</v>
      </c>
      <c r="E205" t="str">
        <f>IF(AND(C205&gt;5000,F205&lt;&gt;"East"),"High-Value Merchant Day","")</f>
        <v/>
      </c>
      <c r="F205" t="str">
        <f>_xlfn.XLOOKUP(A205,Merchants!A:A,Merchants!D:D)</f>
        <v>East</v>
      </c>
    </row>
    <row r="206" spans="1:6" x14ac:dyDescent="0.4">
      <c r="A206">
        <v>20</v>
      </c>
      <c r="B206" s="8">
        <v>46025</v>
      </c>
      <c r="C206" s="10">
        <v>348</v>
      </c>
      <c r="D206" s="10">
        <v>2</v>
      </c>
      <c r="E206" t="str">
        <f>IF(AND(C206&gt;5000,F206&lt;&gt;"East"),"High-Value Merchant Day","")</f>
        <v/>
      </c>
      <c r="F206" t="str">
        <f>_xlfn.XLOOKUP(A206,Merchants!A:A,Merchants!D:D)</f>
        <v>East</v>
      </c>
    </row>
    <row r="207" spans="1:6" x14ac:dyDescent="0.4">
      <c r="A207">
        <v>20</v>
      </c>
      <c r="B207" s="8">
        <v>46026</v>
      </c>
      <c r="C207" s="10">
        <v>2999</v>
      </c>
      <c r="D207" s="10">
        <v>1</v>
      </c>
      <c r="E207" t="str">
        <f>IF(AND(C207&gt;5000,F207&lt;&gt;"East"),"High-Value Merchant Day","")</f>
        <v/>
      </c>
      <c r="F207" t="str">
        <f>_xlfn.XLOOKUP(A207,Merchants!A:A,Merchants!D:D)</f>
        <v>East</v>
      </c>
    </row>
    <row r="208" spans="1:6" x14ac:dyDescent="0.4">
      <c r="A208">
        <v>20</v>
      </c>
      <c r="B208" s="8">
        <v>46032</v>
      </c>
      <c r="C208" s="10">
        <v>149</v>
      </c>
      <c r="D208" s="10">
        <v>1</v>
      </c>
      <c r="E208" t="str">
        <f>IF(AND(C208&gt;5000,F208&lt;&gt;"East"),"High-Value Merchant Day","")</f>
        <v/>
      </c>
      <c r="F208" t="str">
        <f>_xlfn.XLOOKUP(A208,Merchants!A:A,Merchants!D:D)</f>
        <v>East</v>
      </c>
    </row>
    <row r="209" spans="1:6" x14ac:dyDescent="0.4">
      <c r="A209">
        <v>20</v>
      </c>
      <c r="B209" s="8">
        <v>46043</v>
      </c>
      <c r="C209" s="10">
        <v>99</v>
      </c>
      <c r="D209" s="10">
        <v>1</v>
      </c>
      <c r="E209" t="str">
        <f>IF(AND(C209&gt;5000,F209&lt;&gt;"East"),"High-Value Merchant Day","")</f>
        <v/>
      </c>
      <c r="F209" t="str">
        <f>_xlfn.XLOOKUP(A209,Merchants!A:A,Merchants!D:D)</f>
        <v>East</v>
      </c>
    </row>
    <row r="210" spans="1:6" x14ac:dyDescent="0.4">
      <c r="A210">
        <v>20</v>
      </c>
      <c r="B210" s="8">
        <v>46045</v>
      </c>
      <c r="C210" s="10">
        <v>49</v>
      </c>
      <c r="D210" s="10">
        <v>1</v>
      </c>
      <c r="E210" t="str">
        <f>IF(AND(C210&gt;5000,F210&lt;&gt;"East"),"High-Value Merchant Day","")</f>
        <v/>
      </c>
      <c r="F210" t="str">
        <f>_xlfn.XLOOKUP(A210,Merchants!A:A,Merchants!D:D)</f>
        <v>East</v>
      </c>
    </row>
    <row r="211" spans="1:6" x14ac:dyDescent="0.4">
      <c r="A211">
        <v>20</v>
      </c>
      <c r="B211" s="8">
        <v>46046</v>
      </c>
      <c r="C211" s="10">
        <v>49</v>
      </c>
      <c r="D211" s="10">
        <v>1</v>
      </c>
      <c r="E211" t="str">
        <f>IF(AND(C211&gt;5000,F211&lt;&gt;"East"),"High-Value Merchant Day","")</f>
        <v/>
      </c>
      <c r="F211" t="str">
        <f>_xlfn.XLOOKUP(A211,Merchants!A:A,Merchants!D:D)</f>
        <v>East</v>
      </c>
    </row>
    <row r="212" spans="1:6" x14ac:dyDescent="0.4">
      <c r="A212">
        <v>20</v>
      </c>
      <c r="B212" s="8">
        <v>46051</v>
      </c>
      <c r="C212" s="10">
        <v>499</v>
      </c>
      <c r="D212" s="10">
        <v>1</v>
      </c>
      <c r="E212" t="str">
        <f>IF(AND(C212&gt;5000,F212&lt;&gt;"East"),"High-Value Merchant Day","")</f>
        <v/>
      </c>
      <c r="F212" t="str">
        <f>_xlfn.XLOOKUP(A212,Merchants!A:A,Merchants!D:D)</f>
        <v>East</v>
      </c>
    </row>
    <row r="213" spans="1:6" x14ac:dyDescent="0.4">
      <c r="A213">
        <v>21</v>
      </c>
      <c r="B213" s="8">
        <v>46023</v>
      </c>
      <c r="C213" s="10">
        <v>5298</v>
      </c>
      <c r="D213" s="10">
        <v>2</v>
      </c>
      <c r="E213" t="str">
        <f>IF(AND(C213&gt;5000,F213&lt;&gt;"East"),"High-Value Merchant Day","")</f>
        <v/>
      </c>
      <c r="F213" t="str">
        <f>_xlfn.XLOOKUP(A213,Merchants!A:A,Merchants!D:D)</f>
        <v>East</v>
      </c>
    </row>
    <row r="214" spans="1:6" x14ac:dyDescent="0.4">
      <c r="A214">
        <v>21</v>
      </c>
      <c r="B214" s="8">
        <v>46027</v>
      </c>
      <c r="C214" s="10">
        <v>499</v>
      </c>
      <c r="D214" s="10">
        <v>1</v>
      </c>
      <c r="E214" t="str">
        <f>IF(AND(C214&gt;5000,F214&lt;&gt;"East"),"High-Value Merchant Day","")</f>
        <v/>
      </c>
      <c r="F214" t="str">
        <f>_xlfn.XLOOKUP(A214,Merchants!A:A,Merchants!D:D)</f>
        <v>East</v>
      </c>
    </row>
    <row r="215" spans="1:6" x14ac:dyDescent="0.4">
      <c r="A215">
        <v>21</v>
      </c>
      <c r="B215" s="8">
        <v>46031</v>
      </c>
      <c r="C215" s="10">
        <v>499</v>
      </c>
      <c r="D215" s="10">
        <v>1</v>
      </c>
      <c r="E215" t="str">
        <f>IF(AND(C215&gt;5000,F215&lt;&gt;"East"),"High-Value Merchant Day","")</f>
        <v/>
      </c>
      <c r="F215" t="str">
        <f>_xlfn.XLOOKUP(A215,Merchants!A:A,Merchants!D:D)</f>
        <v>East</v>
      </c>
    </row>
    <row r="216" spans="1:6" x14ac:dyDescent="0.4">
      <c r="A216">
        <v>21</v>
      </c>
      <c r="B216" s="8">
        <v>46036</v>
      </c>
      <c r="C216" s="10">
        <v>49</v>
      </c>
      <c r="D216" s="10">
        <v>1</v>
      </c>
      <c r="E216" t="str">
        <f>IF(AND(C216&gt;5000,F216&lt;&gt;"East"),"High-Value Merchant Day","")</f>
        <v/>
      </c>
      <c r="F216" t="str">
        <f>_xlfn.XLOOKUP(A216,Merchants!A:A,Merchants!D:D)</f>
        <v>East</v>
      </c>
    </row>
    <row r="217" spans="1:6" x14ac:dyDescent="0.4">
      <c r="A217">
        <v>21</v>
      </c>
      <c r="B217" s="8">
        <v>46037</v>
      </c>
      <c r="C217" s="10">
        <v>299</v>
      </c>
      <c r="D217" s="10">
        <v>1</v>
      </c>
      <c r="E217" t="str">
        <f>IF(AND(C217&gt;5000,F217&lt;&gt;"East"),"High-Value Merchant Day","")</f>
        <v/>
      </c>
      <c r="F217" t="str">
        <f>_xlfn.XLOOKUP(A217,Merchants!A:A,Merchants!D:D)</f>
        <v>East</v>
      </c>
    </row>
    <row r="218" spans="1:6" x14ac:dyDescent="0.4">
      <c r="A218">
        <v>21</v>
      </c>
      <c r="B218" s="8">
        <v>46038</v>
      </c>
      <c r="C218" s="10">
        <v>799</v>
      </c>
      <c r="D218" s="10">
        <v>1</v>
      </c>
      <c r="E218" t="str">
        <f>IF(AND(C218&gt;5000,F218&lt;&gt;"East"),"High-Value Merchant Day","")</f>
        <v/>
      </c>
      <c r="F218" t="str">
        <f>_xlfn.XLOOKUP(A218,Merchants!A:A,Merchants!D:D)</f>
        <v>East</v>
      </c>
    </row>
    <row r="219" spans="1:6" x14ac:dyDescent="0.4">
      <c r="A219">
        <v>21</v>
      </c>
      <c r="B219" s="8">
        <v>46040</v>
      </c>
      <c r="C219" s="10">
        <v>799</v>
      </c>
      <c r="D219" s="10">
        <v>1</v>
      </c>
      <c r="E219" t="str">
        <f>IF(AND(C219&gt;5000,F219&lt;&gt;"East"),"High-Value Merchant Day","")</f>
        <v/>
      </c>
      <c r="F219" t="str">
        <f>_xlfn.XLOOKUP(A219,Merchants!A:A,Merchants!D:D)</f>
        <v>East</v>
      </c>
    </row>
    <row r="220" spans="1:6" x14ac:dyDescent="0.4">
      <c r="A220">
        <v>21</v>
      </c>
      <c r="B220" s="8">
        <v>46041</v>
      </c>
      <c r="C220" s="10">
        <v>99</v>
      </c>
      <c r="D220" s="10">
        <v>1</v>
      </c>
      <c r="E220" t="str">
        <f>IF(AND(C220&gt;5000,F220&lt;&gt;"East"),"High-Value Merchant Day","")</f>
        <v/>
      </c>
      <c r="F220" t="str">
        <f>_xlfn.XLOOKUP(A220,Merchants!A:A,Merchants!D:D)</f>
        <v>East</v>
      </c>
    </row>
    <row r="221" spans="1:6" x14ac:dyDescent="0.4">
      <c r="A221">
        <v>21</v>
      </c>
      <c r="B221" s="8">
        <v>46042</v>
      </c>
      <c r="C221" s="10">
        <v>49</v>
      </c>
      <c r="D221" s="10">
        <v>1</v>
      </c>
      <c r="E221" t="str">
        <f>IF(AND(C221&gt;5000,F221&lt;&gt;"East"),"High-Value Merchant Day","")</f>
        <v/>
      </c>
      <c r="F221" t="str">
        <f>_xlfn.XLOOKUP(A221,Merchants!A:A,Merchants!D:D)</f>
        <v>East</v>
      </c>
    </row>
    <row r="222" spans="1:6" x14ac:dyDescent="0.4">
      <c r="A222">
        <v>21</v>
      </c>
      <c r="B222" s="8">
        <v>46043</v>
      </c>
      <c r="C222" s="10">
        <v>49</v>
      </c>
      <c r="D222" s="10">
        <v>1</v>
      </c>
      <c r="E222" t="str">
        <f>IF(AND(C222&gt;5000,F222&lt;&gt;"East"),"High-Value Merchant Day","")</f>
        <v/>
      </c>
      <c r="F222" t="str">
        <f>_xlfn.XLOOKUP(A222,Merchants!A:A,Merchants!D:D)</f>
        <v>East</v>
      </c>
    </row>
    <row r="223" spans="1:6" x14ac:dyDescent="0.4">
      <c r="A223">
        <v>21</v>
      </c>
      <c r="B223" s="8">
        <v>46047</v>
      </c>
      <c r="C223" s="10">
        <v>299</v>
      </c>
      <c r="D223" s="10">
        <v>1</v>
      </c>
      <c r="E223" t="str">
        <f>IF(AND(C223&gt;5000,F223&lt;&gt;"East"),"High-Value Merchant Day","")</f>
        <v/>
      </c>
      <c r="F223" t="str">
        <f>_xlfn.XLOOKUP(A223,Merchants!A:A,Merchants!D:D)</f>
        <v>East</v>
      </c>
    </row>
    <row r="224" spans="1:6" x14ac:dyDescent="0.4">
      <c r="A224">
        <v>21</v>
      </c>
      <c r="B224" s="8">
        <v>46048</v>
      </c>
      <c r="C224" s="10">
        <v>99</v>
      </c>
      <c r="D224" s="10">
        <v>1</v>
      </c>
      <c r="E224" t="str">
        <f>IF(AND(C224&gt;5000,F224&lt;&gt;"East"),"High-Value Merchant Day","")</f>
        <v/>
      </c>
      <c r="F224" t="str">
        <f>_xlfn.XLOOKUP(A224,Merchants!A:A,Merchants!D:D)</f>
        <v>East</v>
      </c>
    </row>
    <row r="225" spans="1:6" x14ac:dyDescent="0.4">
      <c r="A225">
        <v>21</v>
      </c>
      <c r="B225" s="8">
        <v>46049</v>
      </c>
      <c r="C225" s="10">
        <v>49</v>
      </c>
      <c r="D225" s="10">
        <v>1</v>
      </c>
      <c r="E225" t="str">
        <f>IF(AND(C225&gt;5000,F225&lt;&gt;"East"),"High-Value Merchant Day","")</f>
        <v/>
      </c>
      <c r="F225" t="str">
        <f>_xlfn.XLOOKUP(A225,Merchants!A:A,Merchants!D:D)</f>
        <v>East</v>
      </c>
    </row>
    <row r="226" spans="1:6" x14ac:dyDescent="0.4">
      <c r="A226">
        <v>22</v>
      </c>
      <c r="B226" s="8">
        <v>46023</v>
      </c>
      <c r="C226" s="10">
        <v>799</v>
      </c>
      <c r="D226" s="10">
        <v>1</v>
      </c>
      <c r="E226" t="str">
        <f>IF(AND(C226&gt;5000,F226&lt;&gt;"East"),"High-Value Merchant Day","")</f>
        <v/>
      </c>
      <c r="F226" t="str">
        <f>_xlfn.XLOOKUP(A226,Merchants!A:A,Merchants!D:D)</f>
        <v>South</v>
      </c>
    </row>
    <row r="227" spans="1:6" x14ac:dyDescent="0.4">
      <c r="A227">
        <v>22</v>
      </c>
      <c r="B227" s="8">
        <v>46027</v>
      </c>
      <c r="C227" s="10">
        <v>448</v>
      </c>
      <c r="D227" s="10">
        <v>2</v>
      </c>
      <c r="E227" t="str">
        <f>IF(AND(C227&gt;5000,F227&lt;&gt;"East"),"High-Value Merchant Day","")</f>
        <v/>
      </c>
      <c r="F227" t="str">
        <f>_xlfn.XLOOKUP(A227,Merchants!A:A,Merchants!D:D)</f>
        <v>South</v>
      </c>
    </row>
    <row r="228" spans="1:6" x14ac:dyDescent="0.4">
      <c r="A228">
        <v>22</v>
      </c>
      <c r="B228" s="8">
        <v>46029</v>
      </c>
      <c r="C228" s="10">
        <v>499</v>
      </c>
      <c r="D228" s="10">
        <v>1</v>
      </c>
      <c r="E228" t="str">
        <f>IF(AND(C228&gt;5000,F228&lt;&gt;"East"),"High-Value Merchant Day","")</f>
        <v/>
      </c>
      <c r="F228" t="str">
        <f>_xlfn.XLOOKUP(A228,Merchants!A:A,Merchants!D:D)</f>
        <v>South</v>
      </c>
    </row>
    <row r="229" spans="1:6" x14ac:dyDescent="0.4">
      <c r="A229">
        <v>22</v>
      </c>
      <c r="B229" s="8">
        <v>46032</v>
      </c>
      <c r="C229" s="10">
        <v>499</v>
      </c>
      <c r="D229" s="10">
        <v>1</v>
      </c>
      <c r="E229" t="str">
        <f>IF(AND(C229&gt;5000,F229&lt;&gt;"East"),"High-Value Merchant Day","")</f>
        <v/>
      </c>
      <c r="F229" t="str">
        <f>_xlfn.XLOOKUP(A229,Merchants!A:A,Merchants!D:D)</f>
        <v>South</v>
      </c>
    </row>
    <row r="230" spans="1:6" x14ac:dyDescent="0.4">
      <c r="A230">
        <v>22</v>
      </c>
      <c r="B230" s="8">
        <v>46033</v>
      </c>
      <c r="C230" s="10">
        <v>299</v>
      </c>
      <c r="D230" s="10">
        <v>1</v>
      </c>
      <c r="E230" t="str">
        <f>IF(AND(C230&gt;5000,F230&lt;&gt;"East"),"High-Value Merchant Day","")</f>
        <v/>
      </c>
      <c r="F230" t="str">
        <f>_xlfn.XLOOKUP(A230,Merchants!A:A,Merchants!D:D)</f>
        <v>South</v>
      </c>
    </row>
    <row r="231" spans="1:6" x14ac:dyDescent="0.4">
      <c r="A231">
        <v>22</v>
      </c>
      <c r="B231" s="8">
        <v>46034</v>
      </c>
      <c r="C231" s="10">
        <v>1697</v>
      </c>
      <c r="D231" s="10">
        <v>3</v>
      </c>
      <c r="E231" t="str">
        <f>IF(AND(C231&gt;5000,F231&lt;&gt;"East"),"High-Value Merchant Day","")</f>
        <v/>
      </c>
      <c r="F231" t="str">
        <f>_xlfn.XLOOKUP(A231,Merchants!A:A,Merchants!D:D)</f>
        <v>South</v>
      </c>
    </row>
    <row r="232" spans="1:6" x14ac:dyDescent="0.4">
      <c r="A232">
        <v>22</v>
      </c>
      <c r="B232" s="8">
        <v>46035</v>
      </c>
      <c r="C232" s="10">
        <v>5798</v>
      </c>
      <c r="D232" s="10">
        <v>2</v>
      </c>
      <c r="E232" t="str">
        <f>IF(AND(C232&gt;5000,F232&lt;&gt;"East"),"High-Value Merchant Day","")</f>
        <v>High-Value Merchant Day</v>
      </c>
      <c r="F232" t="str">
        <f>_xlfn.XLOOKUP(A232,Merchants!A:A,Merchants!D:D)</f>
        <v>South</v>
      </c>
    </row>
    <row r="233" spans="1:6" x14ac:dyDescent="0.4">
      <c r="A233">
        <v>22</v>
      </c>
      <c r="B233" s="8">
        <v>46036</v>
      </c>
      <c r="C233" s="10">
        <v>799</v>
      </c>
      <c r="D233" s="10">
        <v>1</v>
      </c>
      <c r="E233" t="str">
        <f>IF(AND(C233&gt;5000,F233&lt;&gt;"East"),"High-Value Merchant Day","")</f>
        <v/>
      </c>
      <c r="F233" t="str">
        <f>_xlfn.XLOOKUP(A233,Merchants!A:A,Merchants!D:D)</f>
        <v>South</v>
      </c>
    </row>
    <row r="234" spans="1:6" x14ac:dyDescent="0.4">
      <c r="A234">
        <v>22</v>
      </c>
      <c r="B234" s="8">
        <v>46039</v>
      </c>
      <c r="C234" s="10">
        <v>1598</v>
      </c>
      <c r="D234" s="10">
        <v>2</v>
      </c>
      <c r="E234" t="str">
        <f>IF(AND(C234&gt;5000,F234&lt;&gt;"East"),"High-Value Merchant Day","")</f>
        <v/>
      </c>
      <c r="F234" t="str">
        <f>_xlfn.XLOOKUP(A234,Merchants!A:A,Merchants!D:D)</f>
        <v>South</v>
      </c>
    </row>
    <row r="235" spans="1:6" x14ac:dyDescent="0.4">
      <c r="A235">
        <v>22</v>
      </c>
      <c r="B235" s="8">
        <v>46045</v>
      </c>
      <c r="C235" s="10">
        <v>49</v>
      </c>
      <c r="D235" s="10">
        <v>1</v>
      </c>
      <c r="E235" t="str">
        <f>IF(AND(C235&gt;5000,F235&lt;&gt;"East"),"High-Value Merchant Day","")</f>
        <v/>
      </c>
      <c r="F235" t="str">
        <f>_xlfn.XLOOKUP(A235,Merchants!A:A,Merchants!D:D)</f>
        <v>South</v>
      </c>
    </row>
    <row r="236" spans="1:6" x14ac:dyDescent="0.4">
      <c r="A236">
        <v>22</v>
      </c>
      <c r="B236" s="8">
        <v>46051</v>
      </c>
      <c r="C236" s="10">
        <v>49</v>
      </c>
      <c r="D236" s="10">
        <v>1</v>
      </c>
      <c r="E236" t="str">
        <f>IF(AND(C236&gt;5000,F236&lt;&gt;"East"),"High-Value Merchant Day","")</f>
        <v/>
      </c>
      <c r="F236" t="str">
        <f>_xlfn.XLOOKUP(A236,Merchants!A:A,Merchants!D:D)</f>
        <v>South</v>
      </c>
    </row>
    <row r="237" spans="1:6" x14ac:dyDescent="0.4">
      <c r="A237">
        <v>23</v>
      </c>
      <c r="B237" s="8">
        <v>46030</v>
      </c>
      <c r="C237" s="10">
        <v>99</v>
      </c>
      <c r="D237" s="10">
        <v>1</v>
      </c>
      <c r="E237" t="str">
        <f>IF(AND(C237&gt;5000,F237&lt;&gt;"East"),"High-Value Merchant Day","")</f>
        <v/>
      </c>
      <c r="F237" t="str">
        <f>_xlfn.XLOOKUP(A237,Merchants!A:A,Merchants!D:D)</f>
        <v>North</v>
      </c>
    </row>
    <row r="238" spans="1:6" x14ac:dyDescent="0.4">
      <c r="A238">
        <v>23</v>
      </c>
      <c r="B238" s="8">
        <v>46031</v>
      </c>
      <c r="C238" s="10">
        <v>399</v>
      </c>
      <c r="D238" s="10">
        <v>1</v>
      </c>
      <c r="E238" t="str">
        <f>IF(AND(C238&gt;5000,F238&lt;&gt;"East"),"High-Value Merchant Day","")</f>
        <v/>
      </c>
      <c r="F238" t="str">
        <f>_xlfn.XLOOKUP(A238,Merchants!A:A,Merchants!D:D)</f>
        <v>North</v>
      </c>
    </row>
    <row r="239" spans="1:6" x14ac:dyDescent="0.4">
      <c r="A239">
        <v>23</v>
      </c>
      <c r="B239" s="8">
        <v>46034</v>
      </c>
      <c r="C239" s="10">
        <v>149</v>
      </c>
      <c r="D239" s="10">
        <v>1</v>
      </c>
      <c r="E239" t="str">
        <f>IF(AND(C239&gt;5000,F239&lt;&gt;"East"),"High-Value Merchant Day","")</f>
        <v/>
      </c>
      <c r="F239" t="str">
        <f>_xlfn.XLOOKUP(A239,Merchants!A:A,Merchants!D:D)</f>
        <v>North</v>
      </c>
    </row>
    <row r="240" spans="1:6" x14ac:dyDescent="0.4">
      <c r="A240">
        <v>23</v>
      </c>
      <c r="B240" s="8">
        <v>46039</v>
      </c>
      <c r="C240" s="10">
        <v>49</v>
      </c>
      <c r="D240" s="10">
        <v>1</v>
      </c>
      <c r="E240" t="str">
        <f>IF(AND(C240&gt;5000,F240&lt;&gt;"East"),"High-Value Merchant Day","")</f>
        <v/>
      </c>
      <c r="F240" t="str">
        <f>_xlfn.XLOOKUP(A240,Merchants!A:A,Merchants!D:D)</f>
        <v>North</v>
      </c>
    </row>
    <row r="241" spans="1:6" x14ac:dyDescent="0.4">
      <c r="A241">
        <v>23</v>
      </c>
      <c r="B241" s="8">
        <v>46040</v>
      </c>
      <c r="C241" s="10">
        <v>1999</v>
      </c>
      <c r="D241" s="10">
        <v>1</v>
      </c>
      <c r="E241" t="str">
        <f>IF(AND(C241&gt;5000,F241&lt;&gt;"East"),"High-Value Merchant Day","")</f>
        <v/>
      </c>
      <c r="F241" t="str">
        <f>_xlfn.XLOOKUP(A241,Merchants!A:A,Merchants!D:D)</f>
        <v>North</v>
      </c>
    </row>
    <row r="242" spans="1:6" x14ac:dyDescent="0.4">
      <c r="A242">
        <v>23</v>
      </c>
      <c r="B242" s="8">
        <v>46044</v>
      </c>
      <c r="C242" s="10">
        <v>49</v>
      </c>
      <c r="D242" s="10">
        <v>1</v>
      </c>
      <c r="E242" t="str">
        <f>IF(AND(C242&gt;5000,F242&lt;&gt;"East"),"High-Value Merchant Day","")</f>
        <v/>
      </c>
      <c r="F242" t="str">
        <f>_xlfn.XLOOKUP(A242,Merchants!A:A,Merchants!D:D)</f>
        <v>North</v>
      </c>
    </row>
    <row r="243" spans="1:6" x14ac:dyDescent="0.4">
      <c r="A243">
        <v>23</v>
      </c>
      <c r="B243" s="8">
        <v>46045</v>
      </c>
      <c r="C243" s="10">
        <v>247</v>
      </c>
      <c r="D243" s="10">
        <v>3</v>
      </c>
      <c r="E243" t="str">
        <f>IF(AND(C243&gt;5000,F243&lt;&gt;"East"),"High-Value Merchant Day","")</f>
        <v/>
      </c>
      <c r="F243" t="str">
        <f>_xlfn.XLOOKUP(A243,Merchants!A:A,Merchants!D:D)</f>
        <v>North</v>
      </c>
    </row>
    <row r="244" spans="1:6" x14ac:dyDescent="0.4">
      <c r="A244">
        <v>23</v>
      </c>
      <c r="B244" s="8">
        <v>46048</v>
      </c>
      <c r="C244" s="10">
        <v>49</v>
      </c>
      <c r="D244" s="10">
        <v>1</v>
      </c>
      <c r="E244" t="str">
        <f>IF(AND(C244&gt;5000,F244&lt;&gt;"East"),"High-Value Merchant Day","")</f>
        <v/>
      </c>
      <c r="F244" t="str">
        <f>_xlfn.XLOOKUP(A244,Merchants!A:A,Merchants!D:D)</f>
        <v>North</v>
      </c>
    </row>
    <row r="245" spans="1:6" x14ac:dyDescent="0.4">
      <c r="A245">
        <v>24</v>
      </c>
      <c r="B245" s="8">
        <v>46025</v>
      </c>
      <c r="C245" s="10">
        <v>49</v>
      </c>
      <c r="D245" s="10">
        <v>1</v>
      </c>
      <c r="E245" t="str">
        <f>IF(AND(C245&gt;5000,F245&lt;&gt;"East"),"High-Value Merchant Day","")</f>
        <v/>
      </c>
      <c r="F245" t="str">
        <f>_xlfn.XLOOKUP(A245,Merchants!A:A,Merchants!D:D)</f>
        <v>North</v>
      </c>
    </row>
    <row r="246" spans="1:6" x14ac:dyDescent="0.4">
      <c r="A246">
        <v>24</v>
      </c>
      <c r="B246" s="8">
        <v>46026</v>
      </c>
      <c r="C246" s="10">
        <v>149</v>
      </c>
      <c r="D246" s="10">
        <v>1</v>
      </c>
      <c r="E246" t="str">
        <f>IF(AND(C246&gt;5000,F246&lt;&gt;"East"),"High-Value Merchant Day","")</f>
        <v/>
      </c>
      <c r="F246" t="str">
        <f>_xlfn.XLOOKUP(A246,Merchants!A:A,Merchants!D:D)</f>
        <v>North</v>
      </c>
    </row>
    <row r="247" spans="1:6" x14ac:dyDescent="0.4">
      <c r="A247">
        <v>24</v>
      </c>
      <c r="B247" s="8">
        <v>46029</v>
      </c>
      <c r="C247" s="10">
        <v>299</v>
      </c>
      <c r="D247" s="10">
        <v>1</v>
      </c>
      <c r="E247" t="str">
        <f>IF(AND(C247&gt;5000,F247&lt;&gt;"East"),"High-Value Merchant Day","")</f>
        <v/>
      </c>
      <c r="F247" t="str">
        <f>_xlfn.XLOOKUP(A247,Merchants!A:A,Merchants!D:D)</f>
        <v>North</v>
      </c>
    </row>
    <row r="248" spans="1:6" x14ac:dyDescent="0.4">
      <c r="A248">
        <v>24</v>
      </c>
      <c r="B248" s="8">
        <v>46033</v>
      </c>
      <c r="C248" s="10">
        <v>799</v>
      </c>
      <c r="D248" s="10">
        <v>1</v>
      </c>
      <c r="E248" t="str">
        <f>IF(AND(C248&gt;5000,F248&lt;&gt;"East"),"High-Value Merchant Day","")</f>
        <v/>
      </c>
      <c r="F248" t="str">
        <f>_xlfn.XLOOKUP(A248,Merchants!A:A,Merchants!D:D)</f>
        <v>North</v>
      </c>
    </row>
    <row r="249" spans="1:6" x14ac:dyDescent="0.4">
      <c r="A249">
        <v>24</v>
      </c>
      <c r="B249" s="8">
        <v>46034</v>
      </c>
      <c r="C249" s="10">
        <v>149</v>
      </c>
      <c r="D249" s="10">
        <v>1</v>
      </c>
      <c r="E249" t="str">
        <f>IF(AND(C249&gt;5000,F249&lt;&gt;"East"),"High-Value Merchant Day","")</f>
        <v/>
      </c>
      <c r="F249" t="str">
        <f>_xlfn.XLOOKUP(A249,Merchants!A:A,Merchants!D:D)</f>
        <v>North</v>
      </c>
    </row>
    <row r="250" spans="1:6" x14ac:dyDescent="0.4">
      <c r="A250">
        <v>24</v>
      </c>
      <c r="B250" s="8">
        <v>46036</v>
      </c>
      <c r="C250" s="10">
        <v>499</v>
      </c>
      <c r="D250" s="10">
        <v>1</v>
      </c>
      <c r="E250" t="str">
        <f>IF(AND(C250&gt;5000,F250&lt;&gt;"East"),"High-Value Merchant Day","")</f>
        <v/>
      </c>
      <c r="F250" t="str">
        <f>_xlfn.XLOOKUP(A250,Merchants!A:A,Merchants!D:D)</f>
        <v>North</v>
      </c>
    </row>
    <row r="251" spans="1:6" x14ac:dyDescent="0.4">
      <c r="A251">
        <v>24</v>
      </c>
      <c r="B251" s="8">
        <v>46042</v>
      </c>
      <c r="C251" s="10">
        <v>299</v>
      </c>
      <c r="D251" s="10">
        <v>1</v>
      </c>
      <c r="E251" t="str">
        <f>IF(AND(C251&gt;5000,F251&lt;&gt;"East"),"High-Value Merchant Day","")</f>
        <v/>
      </c>
      <c r="F251" t="str">
        <f>_xlfn.XLOOKUP(A251,Merchants!A:A,Merchants!D:D)</f>
        <v>North</v>
      </c>
    </row>
    <row r="252" spans="1:6" x14ac:dyDescent="0.4">
      <c r="A252">
        <v>24</v>
      </c>
      <c r="B252" s="8">
        <v>46043</v>
      </c>
      <c r="C252" s="10">
        <v>799</v>
      </c>
      <c r="D252" s="10">
        <v>1</v>
      </c>
      <c r="E252" t="str">
        <f>IF(AND(C252&gt;5000,F252&lt;&gt;"East"),"High-Value Merchant Day","")</f>
        <v/>
      </c>
      <c r="F252" t="str">
        <f>_xlfn.XLOOKUP(A252,Merchants!A:A,Merchants!D:D)</f>
        <v>North</v>
      </c>
    </row>
    <row r="253" spans="1:6" x14ac:dyDescent="0.4">
      <c r="A253">
        <v>24</v>
      </c>
      <c r="B253" s="8">
        <v>46044</v>
      </c>
      <c r="C253" s="10">
        <v>49</v>
      </c>
      <c r="D253" s="10">
        <v>1</v>
      </c>
      <c r="E253" t="str">
        <f>IF(AND(C253&gt;5000,F253&lt;&gt;"East"),"High-Value Merchant Day","")</f>
        <v/>
      </c>
      <c r="F253" t="str">
        <f>_xlfn.XLOOKUP(A253,Merchants!A:A,Merchants!D:D)</f>
        <v>North</v>
      </c>
    </row>
    <row r="254" spans="1:6" x14ac:dyDescent="0.4">
      <c r="A254">
        <v>24</v>
      </c>
      <c r="B254" s="8">
        <v>46046</v>
      </c>
      <c r="C254" s="10">
        <v>148</v>
      </c>
      <c r="D254" s="10">
        <v>2</v>
      </c>
      <c r="E254" t="str">
        <f>IF(AND(C254&gt;5000,F254&lt;&gt;"East"),"High-Value Merchant Day","")</f>
        <v/>
      </c>
      <c r="F254" t="str">
        <f>_xlfn.XLOOKUP(A254,Merchants!A:A,Merchants!D:D)</f>
        <v>North</v>
      </c>
    </row>
    <row r="255" spans="1:6" x14ac:dyDescent="0.4">
      <c r="A255">
        <v>24</v>
      </c>
      <c r="B255" s="8">
        <v>46048</v>
      </c>
      <c r="C255" s="10">
        <v>348</v>
      </c>
      <c r="D255" s="10">
        <v>2</v>
      </c>
      <c r="E255" t="str">
        <f>IF(AND(C255&gt;5000,F255&lt;&gt;"East"),"High-Value Merchant Day","")</f>
        <v/>
      </c>
      <c r="F255" t="str">
        <f>_xlfn.XLOOKUP(A255,Merchants!A:A,Merchants!D:D)</f>
        <v>North</v>
      </c>
    </row>
    <row r="256" spans="1:6" x14ac:dyDescent="0.4">
      <c r="A256">
        <v>25</v>
      </c>
      <c r="B256" s="8">
        <v>46024</v>
      </c>
      <c r="C256" s="10">
        <v>99</v>
      </c>
      <c r="D256" s="10">
        <v>1</v>
      </c>
      <c r="E256" t="str">
        <f>IF(AND(C256&gt;5000,F256&lt;&gt;"East"),"High-Value Merchant Day","")</f>
        <v/>
      </c>
      <c r="F256" t="str">
        <f>_xlfn.XLOOKUP(A256,Merchants!A:A,Merchants!D:D)</f>
        <v>South</v>
      </c>
    </row>
    <row r="257" spans="1:6" x14ac:dyDescent="0.4">
      <c r="A257">
        <v>25</v>
      </c>
      <c r="B257" s="8">
        <v>46027</v>
      </c>
      <c r="C257" s="10">
        <v>4498</v>
      </c>
      <c r="D257" s="10">
        <v>2</v>
      </c>
      <c r="E257" t="str">
        <f>IF(AND(C257&gt;5000,F257&lt;&gt;"East"),"High-Value Merchant Day","")</f>
        <v/>
      </c>
      <c r="F257" t="str">
        <f>_xlfn.XLOOKUP(A257,Merchants!A:A,Merchants!D:D)</f>
        <v>South</v>
      </c>
    </row>
    <row r="258" spans="1:6" x14ac:dyDescent="0.4">
      <c r="A258">
        <v>25</v>
      </c>
      <c r="B258" s="8">
        <v>46028</v>
      </c>
      <c r="C258" s="10">
        <v>898</v>
      </c>
      <c r="D258" s="10">
        <v>2</v>
      </c>
      <c r="E258" t="str">
        <f>IF(AND(C258&gt;5000,F258&lt;&gt;"East"),"High-Value Merchant Day","")</f>
        <v/>
      </c>
      <c r="F258" t="str">
        <f>_xlfn.XLOOKUP(A258,Merchants!A:A,Merchants!D:D)</f>
        <v>South</v>
      </c>
    </row>
    <row r="259" spans="1:6" x14ac:dyDescent="0.4">
      <c r="A259">
        <v>25</v>
      </c>
      <c r="B259" s="8">
        <v>46033</v>
      </c>
      <c r="C259" s="10">
        <v>799</v>
      </c>
      <c r="D259" s="10">
        <v>1</v>
      </c>
      <c r="E259" t="str">
        <f>IF(AND(C259&gt;5000,F259&lt;&gt;"East"),"High-Value Merchant Day","")</f>
        <v/>
      </c>
      <c r="F259" t="str">
        <f>_xlfn.XLOOKUP(A259,Merchants!A:A,Merchants!D:D)</f>
        <v>South</v>
      </c>
    </row>
    <row r="260" spans="1:6" x14ac:dyDescent="0.4">
      <c r="A260">
        <v>25</v>
      </c>
      <c r="B260" s="8">
        <v>46035</v>
      </c>
      <c r="C260" s="10">
        <v>49</v>
      </c>
      <c r="D260" s="10">
        <v>1</v>
      </c>
      <c r="E260" t="str">
        <f>IF(AND(C260&gt;5000,F260&lt;&gt;"East"),"High-Value Merchant Day","")</f>
        <v/>
      </c>
      <c r="F260" t="str">
        <f>_xlfn.XLOOKUP(A260,Merchants!A:A,Merchants!D:D)</f>
        <v>South</v>
      </c>
    </row>
    <row r="261" spans="1:6" x14ac:dyDescent="0.4">
      <c r="A261">
        <v>25</v>
      </c>
      <c r="B261" s="8">
        <v>46037</v>
      </c>
      <c r="C261" s="10">
        <v>49</v>
      </c>
      <c r="D261" s="10">
        <v>1</v>
      </c>
      <c r="E261" t="str">
        <f>IF(AND(C261&gt;5000,F261&lt;&gt;"East"),"High-Value Merchant Day","")</f>
        <v/>
      </c>
      <c r="F261" t="str">
        <f>_xlfn.XLOOKUP(A261,Merchants!A:A,Merchants!D:D)</f>
        <v>South</v>
      </c>
    </row>
    <row r="262" spans="1:6" x14ac:dyDescent="0.4">
      <c r="A262">
        <v>25</v>
      </c>
      <c r="B262" s="8">
        <v>46038</v>
      </c>
      <c r="C262" s="10">
        <v>799</v>
      </c>
      <c r="D262" s="10">
        <v>1</v>
      </c>
      <c r="E262" t="str">
        <f>IF(AND(C262&gt;5000,F262&lt;&gt;"East"),"High-Value Merchant Day","")</f>
        <v/>
      </c>
      <c r="F262" t="str">
        <f>_xlfn.XLOOKUP(A262,Merchants!A:A,Merchants!D:D)</f>
        <v>South</v>
      </c>
    </row>
    <row r="263" spans="1:6" x14ac:dyDescent="0.4">
      <c r="A263">
        <v>25</v>
      </c>
      <c r="B263" s="8">
        <v>46041</v>
      </c>
      <c r="C263" s="10">
        <v>4498</v>
      </c>
      <c r="D263" s="10">
        <v>2</v>
      </c>
      <c r="E263" t="str">
        <f>IF(AND(C263&gt;5000,F263&lt;&gt;"East"),"High-Value Merchant Day","")</f>
        <v/>
      </c>
      <c r="F263" t="str">
        <f>_xlfn.XLOOKUP(A263,Merchants!A:A,Merchants!D:D)</f>
        <v>South</v>
      </c>
    </row>
    <row r="264" spans="1:6" x14ac:dyDescent="0.4">
      <c r="A264">
        <v>25</v>
      </c>
      <c r="B264" s="8">
        <v>46046</v>
      </c>
      <c r="C264" s="10">
        <v>497</v>
      </c>
      <c r="D264" s="10">
        <v>3</v>
      </c>
      <c r="E264" t="str">
        <f>IF(AND(C264&gt;5000,F264&lt;&gt;"East"),"High-Value Merchant Day","")</f>
        <v/>
      </c>
      <c r="F264" t="str">
        <f>_xlfn.XLOOKUP(A264,Merchants!A:A,Merchants!D:D)</f>
        <v>South</v>
      </c>
    </row>
    <row r="265" spans="1:6" x14ac:dyDescent="0.4">
      <c r="A265">
        <v>25</v>
      </c>
      <c r="B265" s="8">
        <v>46050</v>
      </c>
      <c r="C265" s="10">
        <v>299</v>
      </c>
      <c r="D265" s="10">
        <v>1</v>
      </c>
      <c r="E265" t="str">
        <f>IF(AND(C265&gt;5000,F265&lt;&gt;"East"),"High-Value Merchant Day","")</f>
        <v/>
      </c>
      <c r="F265" t="str">
        <f>_xlfn.XLOOKUP(A265,Merchants!A:A,Merchants!D:D)</f>
        <v>South</v>
      </c>
    </row>
    <row r="266" spans="1:6" x14ac:dyDescent="0.4">
      <c r="A266">
        <v>25</v>
      </c>
      <c r="B266" s="8">
        <v>46051</v>
      </c>
      <c r="C266" s="10">
        <v>3048</v>
      </c>
      <c r="D266" s="10">
        <v>2</v>
      </c>
      <c r="E266" t="str">
        <f>IF(AND(C266&gt;5000,F266&lt;&gt;"East"),"High-Value Merchant Day","")</f>
        <v/>
      </c>
      <c r="F266" t="str">
        <f>_xlfn.XLOOKUP(A266,Merchants!A:A,Merchants!D:D)</f>
        <v>South</v>
      </c>
    </row>
    <row r="267" spans="1:6" x14ac:dyDescent="0.4">
      <c r="A267">
        <v>26</v>
      </c>
      <c r="B267" s="8">
        <v>46024</v>
      </c>
      <c r="C267" s="10">
        <v>399</v>
      </c>
      <c r="D267" s="10">
        <v>1</v>
      </c>
      <c r="E267" t="str">
        <f>IF(AND(C267&gt;5000,F267&lt;&gt;"East"),"High-Value Merchant Day","")</f>
        <v/>
      </c>
      <c r="F267" t="str">
        <f>_xlfn.XLOOKUP(A267,Merchants!A:A,Merchants!D:D)</f>
        <v>East</v>
      </c>
    </row>
    <row r="268" spans="1:6" x14ac:dyDescent="0.4">
      <c r="A268">
        <v>26</v>
      </c>
      <c r="B268" s="8">
        <v>46025</v>
      </c>
      <c r="C268" s="10">
        <v>99</v>
      </c>
      <c r="D268" s="10">
        <v>1</v>
      </c>
      <c r="E268" t="str">
        <f>IF(AND(C268&gt;5000,F268&lt;&gt;"East"),"High-Value Merchant Day","")</f>
        <v/>
      </c>
      <c r="F268" t="str">
        <f>_xlfn.XLOOKUP(A268,Merchants!A:A,Merchants!D:D)</f>
        <v>East</v>
      </c>
    </row>
    <row r="269" spans="1:6" x14ac:dyDescent="0.4">
      <c r="A269">
        <v>26</v>
      </c>
      <c r="B269" s="8">
        <v>46028</v>
      </c>
      <c r="C269" s="10">
        <v>49</v>
      </c>
      <c r="D269" s="10">
        <v>1</v>
      </c>
      <c r="E269" t="str">
        <f>IF(AND(C269&gt;5000,F269&lt;&gt;"East"),"High-Value Merchant Day","")</f>
        <v/>
      </c>
      <c r="F269" t="str">
        <f>_xlfn.XLOOKUP(A269,Merchants!A:A,Merchants!D:D)</f>
        <v>East</v>
      </c>
    </row>
    <row r="270" spans="1:6" x14ac:dyDescent="0.4">
      <c r="A270">
        <v>26</v>
      </c>
      <c r="B270" s="8">
        <v>46032</v>
      </c>
      <c r="C270" s="10">
        <v>299</v>
      </c>
      <c r="D270" s="10">
        <v>1</v>
      </c>
      <c r="E270" t="str">
        <f>IF(AND(C270&gt;5000,F270&lt;&gt;"East"),"High-Value Merchant Day","")</f>
        <v/>
      </c>
      <c r="F270" t="str">
        <f>_xlfn.XLOOKUP(A270,Merchants!A:A,Merchants!D:D)</f>
        <v>East</v>
      </c>
    </row>
    <row r="271" spans="1:6" x14ac:dyDescent="0.4">
      <c r="A271">
        <v>26</v>
      </c>
      <c r="B271" s="8">
        <v>46034</v>
      </c>
      <c r="C271" s="10">
        <v>299</v>
      </c>
      <c r="D271" s="10">
        <v>1</v>
      </c>
      <c r="E271" t="str">
        <f>IF(AND(C271&gt;5000,F271&lt;&gt;"East"),"High-Value Merchant Day","")</f>
        <v/>
      </c>
      <c r="F271" t="str">
        <f>_xlfn.XLOOKUP(A271,Merchants!A:A,Merchants!D:D)</f>
        <v>East</v>
      </c>
    </row>
    <row r="272" spans="1:6" x14ac:dyDescent="0.4">
      <c r="A272">
        <v>26</v>
      </c>
      <c r="B272" s="8">
        <v>46036</v>
      </c>
      <c r="C272" s="10">
        <v>299</v>
      </c>
      <c r="D272" s="10">
        <v>1</v>
      </c>
      <c r="E272" t="str">
        <f>IF(AND(C272&gt;5000,F272&lt;&gt;"East"),"High-Value Merchant Day","")</f>
        <v/>
      </c>
      <c r="F272" t="str">
        <f>_xlfn.XLOOKUP(A272,Merchants!A:A,Merchants!D:D)</f>
        <v>East</v>
      </c>
    </row>
    <row r="273" spans="1:6" x14ac:dyDescent="0.4">
      <c r="A273">
        <v>26</v>
      </c>
      <c r="B273" s="8">
        <v>46044</v>
      </c>
      <c r="C273" s="10">
        <v>499</v>
      </c>
      <c r="D273" s="10">
        <v>1</v>
      </c>
      <c r="E273" t="str">
        <f>IF(AND(C273&gt;5000,F273&lt;&gt;"East"),"High-Value Merchant Day","")</f>
        <v/>
      </c>
      <c r="F273" t="str">
        <f>_xlfn.XLOOKUP(A273,Merchants!A:A,Merchants!D:D)</f>
        <v>East</v>
      </c>
    </row>
    <row r="274" spans="1:6" x14ac:dyDescent="0.4">
      <c r="A274">
        <v>26</v>
      </c>
      <c r="B274" s="8">
        <v>46045</v>
      </c>
      <c r="C274" s="10">
        <v>99</v>
      </c>
      <c r="D274" s="10">
        <v>1</v>
      </c>
      <c r="E274" t="str">
        <f>IF(AND(C274&gt;5000,F274&lt;&gt;"East"),"High-Value Merchant Day","")</f>
        <v/>
      </c>
      <c r="F274" t="str">
        <f>_xlfn.XLOOKUP(A274,Merchants!A:A,Merchants!D:D)</f>
        <v>East</v>
      </c>
    </row>
    <row r="275" spans="1:6" x14ac:dyDescent="0.4">
      <c r="A275">
        <v>26</v>
      </c>
      <c r="B275" s="8">
        <v>46050</v>
      </c>
      <c r="C275" s="10">
        <v>1499</v>
      </c>
      <c r="D275" s="10">
        <v>1</v>
      </c>
      <c r="E275" t="str">
        <f>IF(AND(C275&gt;5000,F275&lt;&gt;"East"),"High-Value Merchant Day","")</f>
        <v/>
      </c>
      <c r="F275" t="str">
        <f>_xlfn.XLOOKUP(A275,Merchants!A:A,Merchants!D:D)</f>
        <v>East</v>
      </c>
    </row>
    <row r="276" spans="1:6" x14ac:dyDescent="0.4">
      <c r="A276">
        <v>26</v>
      </c>
      <c r="B276" s="8">
        <v>46051</v>
      </c>
      <c r="C276" s="10">
        <v>148</v>
      </c>
      <c r="D276" s="10">
        <v>2</v>
      </c>
      <c r="E276" t="str">
        <f>IF(AND(C276&gt;5000,F276&lt;&gt;"East"),"High-Value Merchant Day","")</f>
        <v/>
      </c>
      <c r="F276" t="str">
        <f>_xlfn.XLOOKUP(A276,Merchants!A:A,Merchants!D:D)</f>
        <v>East</v>
      </c>
    </row>
    <row r="277" spans="1:6" x14ac:dyDescent="0.4">
      <c r="A277">
        <v>26</v>
      </c>
      <c r="B277" s="8">
        <v>46052</v>
      </c>
      <c r="C277" s="10">
        <v>1499</v>
      </c>
      <c r="D277" s="10">
        <v>1</v>
      </c>
      <c r="E277" t="str">
        <f>IF(AND(C277&gt;5000,F277&lt;&gt;"East"),"High-Value Merchant Day","")</f>
        <v/>
      </c>
      <c r="F277" t="str">
        <f>_xlfn.XLOOKUP(A277,Merchants!A:A,Merchants!D:D)</f>
        <v>East</v>
      </c>
    </row>
    <row r="278" spans="1:6" x14ac:dyDescent="0.4">
      <c r="A278">
        <v>27</v>
      </c>
      <c r="B278" s="8">
        <v>46023</v>
      </c>
      <c r="C278" s="10">
        <v>149</v>
      </c>
      <c r="D278" s="10">
        <v>1</v>
      </c>
      <c r="E278" t="str">
        <f>IF(AND(C278&gt;5000,F278&lt;&gt;"East"),"High-Value Merchant Day","")</f>
        <v/>
      </c>
      <c r="F278" t="str">
        <f>_xlfn.XLOOKUP(A278,Merchants!A:A,Merchants!D:D)</f>
        <v>North</v>
      </c>
    </row>
    <row r="279" spans="1:6" x14ac:dyDescent="0.4">
      <c r="A279">
        <v>27</v>
      </c>
      <c r="B279" s="8">
        <v>46026</v>
      </c>
      <c r="C279" s="10">
        <v>49</v>
      </c>
      <c r="D279" s="10">
        <v>1</v>
      </c>
      <c r="E279" t="str">
        <f>IF(AND(C279&gt;5000,F279&lt;&gt;"East"),"High-Value Merchant Day","")</f>
        <v/>
      </c>
      <c r="F279" t="str">
        <f>_xlfn.XLOOKUP(A279,Merchants!A:A,Merchants!D:D)</f>
        <v>North</v>
      </c>
    </row>
    <row r="280" spans="1:6" x14ac:dyDescent="0.4">
      <c r="A280">
        <v>27</v>
      </c>
      <c r="B280" s="8">
        <v>46032</v>
      </c>
      <c r="C280" s="10">
        <v>149</v>
      </c>
      <c r="D280" s="10">
        <v>1</v>
      </c>
      <c r="E280" t="str">
        <f>IF(AND(C280&gt;5000,F280&lt;&gt;"East"),"High-Value Merchant Day","")</f>
        <v/>
      </c>
      <c r="F280" t="str">
        <f>_xlfn.XLOOKUP(A280,Merchants!A:A,Merchants!D:D)</f>
        <v>North</v>
      </c>
    </row>
    <row r="281" spans="1:6" x14ac:dyDescent="0.4">
      <c r="A281">
        <v>27</v>
      </c>
      <c r="B281" s="8">
        <v>46034</v>
      </c>
      <c r="C281" s="10">
        <v>299</v>
      </c>
      <c r="D281" s="10">
        <v>1</v>
      </c>
      <c r="E281" t="str">
        <f>IF(AND(C281&gt;5000,F281&lt;&gt;"East"),"High-Value Merchant Day","")</f>
        <v/>
      </c>
      <c r="F281" t="str">
        <f>_xlfn.XLOOKUP(A281,Merchants!A:A,Merchants!D:D)</f>
        <v>North</v>
      </c>
    </row>
    <row r="282" spans="1:6" x14ac:dyDescent="0.4">
      <c r="A282">
        <v>27</v>
      </c>
      <c r="B282" s="8">
        <v>46036</v>
      </c>
      <c r="C282" s="10">
        <v>149</v>
      </c>
      <c r="D282" s="10">
        <v>1</v>
      </c>
      <c r="E282" t="str">
        <f>IF(AND(C282&gt;5000,F282&lt;&gt;"East"),"High-Value Merchant Day","")</f>
        <v/>
      </c>
      <c r="F282" t="str">
        <f>_xlfn.XLOOKUP(A282,Merchants!A:A,Merchants!D:D)</f>
        <v>North</v>
      </c>
    </row>
    <row r="283" spans="1:6" x14ac:dyDescent="0.4">
      <c r="A283">
        <v>27</v>
      </c>
      <c r="B283" s="8">
        <v>46037</v>
      </c>
      <c r="C283" s="10">
        <v>1499</v>
      </c>
      <c r="D283" s="10">
        <v>1</v>
      </c>
      <c r="E283" t="str">
        <f>IF(AND(C283&gt;5000,F283&lt;&gt;"East"),"High-Value Merchant Day","")</f>
        <v/>
      </c>
      <c r="F283" t="str">
        <f>_xlfn.XLOOKUP(A283,Merchants!A:A,Merchants!D:D)</f>
        <v>North</v>
      </c>
    </row>
    <row r="284" spans="1:6" x14ac:dyDescent="0.4">
      <c r="A284">
        <v>27</v>
      </c>
      <c r="B284" s="8">
        <v>46039</v>
      </c>
      <c r="C284" s="10">
        <v>1597</v>
      </c>
      <c r="D284" s="10">
        <v>3</v>
      </c>
      <c r="E284" t="str">
        <f>IF(AND(C284&gt;5000,F284&lt;&gt;"East"),"High-Value Merchant Day","")</f>
        <v/>
      </c>
      <c r="F284" t="str">
        <f>_xlfn.XLOOKUP(A284,Merchants!A:A,Merchants!D:D)</f>
        <v>North</v>
      </c>
    </row>
    <row r="285" spans="1:6" x14ac:dyDescent="0.4">
      <c r="A285">
        <v>27</v>
      </c>
      <c r="B285" s="8">
        <v>46041</v>
      </c>
      <c r="C285" s="10">
        <v>49</v>
      </c>
      <c r="D285" s="10">
        <v>1</v>
      </c>
      <c r="E285" t="str">
        <f>IF(AND(C285&gt;5000,F285&lt;&gt;"East"),"High-Value Merchant Day","")</f>
        <v/>
      </c>
      <c r="F285" t="str">
        <f>_xlfn.XLOOKUP(A285,Merchants!A:A,Merchants!D:D)</f>
        <v>North</v>
      </c>
    </row>
    <row r="286" spans="1:6" x14ac:dyDescent="0.4">
      <c r="A286">
        <v>27</v>
      </c>
      <c r="B286" s="8">
        <v>46042</v>
      </c>
      <c r="C286" s="10">
        <v>4999</v>
      </c>
      <c r="D286" s="10">
        <v>1</v>
      </c>
      <c r="E286" t="str">
        <f>IF(AND(C286&gt;5000,F286&lt;&gt;"East"),"High-Value Merchant Day","")</f>
        <v/>
      </c>
      <c r="F286" t="str">
        <f>_xlfn.XLOOKUP(A286,Merchants!A:A,Merchants!D:D)</f>
        <v>North</v>
      </c>
    </row>
    <row r="287" spans="1:6" x14ac:dyDescent="0.4">
      <c r="A287">
        <v>27</v>
      </c>
      <c r="B287" s="8">
        <v>46043</v>
      </c>
      <c r="C287" s="10">
        <v>499</v>
      </c>
      <c r="D287" s="10">
        <v>1</v>
      </c>
      <c r="E287" t="str">
        <f>IF(AND(C287&gt;5000,F287&lt;&gt;"East"),"High-Value Merchant Day","")</f>
        <v/>
      </c>
      <c r="F287" t="str">
        <f>_xlfn.XLOOKUP(A287,Merchants!A:A,Merchants!D:D)</f>
        <v>North</v>
      </c>
    </row>
    <row r="288" spans="1:6" x14ac:dyDescent="0.4">
      <c r="A288">
        <v>27</v>
      </c>
      <c r="B288" s="8">
        <v>46044</v>
      </c>
      <c r="C288" s="10">
        <v>49</v>
      </c>
      <c r="D288" s="10">
        <v>1</v>
      </c>
      <c r="E288" t="str">
        <f>IF(AND(C288&gt;5000,F288&lt;&gt;"East"),"High-Value Merchant Day","")</f>
        <v/>
      </c>
      <c r="F288" t="str">
        <f>_xlfn.XLOOKUP(A288,Merchants!A:A,Merchants!D:D)</f>
        <v>North</v>
      </c>
    </row>
    <row r="289" spans="1:6" x14ac:dyDescent="0.4">
      <c r="A289">
        <v>27</v>
      </c>
      <c r="B289" s="8">
        <v>46045</v>
      </c>
      <c r="C289" s="10">
        <v>3998</v>
      </c>
      <c r="D289" s="10">
        <v>2</v>
      </c>
      <c r="E289" t="str">
        <f>IF(AND(C289&gt;5000,F289&lt;&gt;"East"),"High-Value Merchant Day","")</f>
        <v/>
      </c>
      <c r="F289" t="str">
        <f>_xlfn.XLOOKUP(A289,Merchants!A:A,Merchants!D:D)</f>
        <v>North</v>
      </c>
    </row>
    <row r="290" spans="1:6" x14ac:dyDescent="0.4">
      <c r="A290">
        <v>27</v>
      </c>
      <c r="B290" s="8">
        <v>46046</v>
      </c>
      <c r="C290" s="10">
        <v>99</v>
      </c>
      <c r="D290" s="10">
        <v>1</v>
      </c>
      <c r="E290" t="str">
        <f>IF(AND(C290&gt;5000,F290&lt;&gt;"East"),"High-Value Merchant Day","")</f>
        <v/>
      </c>
      <c r="F290" t="str">
        <f>_xlfn.XLOOKUP(A290,Merchants!A:A,Merchants!D:D)</f>
        <v>North</v>
      </c>
    </row>
    <row r="291" spans="1:6" x14ac:dyDescent="0.4">
      <c r="A291">
        <v>28</v>
      </c>
      <c r="B291" s="8">
        <v>46030</v>
      </c>
      <c r="C291" s="10">
        <v>49</v>
      </c>
      <c r="D291" s="10">
        <v>1</v>
      </c>
      <c r="E291" t="str">
        <f>IF(AND(C291&gt;5000,F291&lt;&gt;"East"),"High-Value Merchant Day","")</f>
        <v/>
      </c>
      <c r="F291" t="str">
        <f>_xlfn.XLOOKUP(A291,Merchants!A:A,Merchants!D:D)</f>
        <v>South</v>
      </c>
    </row>
    <row r="292" spans="1:6" x14ac:dyDescent="0.4">
      <c r="A292">
        <v>28</v>
      </c>
      <c r="B292" s="8">
        <v>46031</v>
      </c>
      <c r="C292" s="10">
        <v>2999</v>
      </c>
      <c r="D292" s="10">
        <v>1</v>
      </c>
      <c r="E292" t="str">
        <f>IF(AND(C292&gt;5000,F292&lt;&gt;"East"),"High-Value Merchant Day","")</f>
        <v/>
      </c>
      <c r="F292" t="str">
        <f>_xlfn.XLOOKUP(A292,Merchants!A:A,Merchants!D:D)</f>
        <v>South</v>
      </c>
    </row>
    <row r="293" spans="1:6" x14ac:dyDescent="0.4">
      <c r="A293">
        <v>28</v>
      </c>
      <c r="B293" s="8">
        <v>46032</v>
      </c>
      <c r="C293" s="10">
        <v>499</v>
      </c>
      <c r="D293" s="10">
        <v>1</v>
      </c>
      <c r="E293" t="str">
        <f>IF(AND(C293&gt;5000,F293&lt;&gt;"East"),"High-Value Merchant Day","")</f>
        <v/>
      </c>
      <c r="F293" t="str">
        <f>_xlfn.XLOOKUP(A293,Merchants!A:A,Merchants!D:D)</f>
        <v>South</v>
      </c>
    </row>
    <row r="294" spans="1:6" x14ac:dyDescent="0.4">
      <c r="A294">
        <v>28</v>
      </c>
      <c r="B294" s="8">
        <v>46033</v>
      </c>
      <c r="C294" s="10">
        <v>49</v>
      </c>
      <c r="D294" s="10">
        <v>1</v>
      </c>
      <c r="E294" t="str">
        <f>IF(AND(C294&gt;5000,F294&lt;&gt;"East"),"High-Value Merchant Day","")</f>
        <v/>
      </c>
      <c r="F294" t="str">
        <f>_xlfn.XLOOKUP(A294,Merchants!A:A,Merchants!D:D)</f>
        <v>South</v>
      </c>
    </row>
    <row r="295" spans="1:6" x14ac:dyDescent="0.4">
      <c r="A295">
        <v>28</v>
      </c>
      <c r="B295" s="8">
        <v>46036</v>
      </c>
      <c r="C295" s="10">
        <v>49</v>
      </c>
      <c r="D295" s="10">
        <v>1</v>
      </c>
      <c r="E295" t="str">
        <f>IF(AND(C295&gt;5000,F295&lt;&gt;"East"),"High-Value Merchant Day","")</f>
        <v/>
      </c>
      <c r="F295" t="str">
        <f>_xlfn.XLOOKUP(A295,Merchants!A:A,Merchants!D:D)</f>
        <v>South</v>
      </c>
    </row>
    <row r="296" spans="1:6" x14ac:dyDescent="0.4">
      <c r="A296">
        <v>28</v>
      </c>
      <c r="B296" s="8">
        <v>46037</v>
      </c>
      <c r="C296" s="10">
        <v>2999</v>
      </c>
      <c r="D296" s="10">
        <v>1</v>
      </c>
      <c r="E296" t="str">
        <f>IF(AND(C296&gt;5000,F296&lt;&gt;"East"),"High-Value Merchant Day","")</f>
        <v/>
      </c>
      <c r="F296" t="str">
        <f>_xlfn.XLOOKUP(A296,Merchants!A:A,Merchants!D:D)</f>
        <v>South</v>
      </c>
    </row>
    <row r="297" spans="1:6" x14ac:dyDescent="0.4">
      <c r="A297">
        <v>28</v>
      </c>
      <c r="B297" s="8">
        <v>46038</v>
      </c>
      <c r="C297" s="10">
        <v>299</v>
      </c>
      <c r="D297" s="10">
        <v>1</v>
      </c>
      <c r="E297" t="str">
        <f>IF(AND(C297&gt;5000,F297&lt;&gt;"East"),"High-Value Merchant Day","")</f>
        <v/>
      </c>
      <c r="F297" t="str">
        <f>_xlfn.XLOOKUP(A297,Merchants!A:A,Merchants!D:D)</f>
        <v>South</v>
      </c>
    </row>
    <row r="298" spans="1:6" x14ac:dyDescent="0.4">
      <c r="A298">
        <v>28</v>
      </c>
      <c r="B298" s="8">
        <v>46043</v>
      </c>
      <c r="C298" s="10">
        <v>1999</v>
      </c>
      <c r="D298" s="10">
        <v>1</v>
      </c>
      <c r="E298" t="str">
        <f>IF(AND(C298&gt;5000,F298&lt;&gt;"East"),"High-Value Merchant Day","")</f>
        <v/>
      </c>
      <c r="F298" t="str">
        <f>_xlfn.XLOOKUP(A298,Merchants!A:A,Merchants!D:D)</f>
        <v>South</v>
      </c>
    </row>
    <row r="299" spans="1:6" x14ac:dyDescent="0.4">
      <c r="A299">
        <v>28</v>
      </c>
      <c r="B299" s="8">
        <v>46044</v>
      </c>
      <c r="C299" s="10">
        <v>99</v>
      </c>
      <c r="D299" s="10">
        <v>1</v>
      </c>
      <c r="E299" t="str">
        <f>IF(AND(C299&gt;5000,F299&lt;&gt;"East"),"High-Value Merchant Day","")</f>
        <v/>
      </c>
      <c r="F299" t="str">
        <f>_xlfn.XLOOKUP(A299,Merchants!A:A,Merchants!D:D)</f>
        <v>South</v>
      </c>
    </row>
    <row r="300" spans="1:6" x14ac:dyDescent="0.4">
      <c r="A300">
        <v>28</v>
      </c>
      <c r="B300" s="8">
        <v>46052</v>
      </c>
      <c r="C300" s="10">
        <v>499</v>
      </c>
      <c r="D300" s="10">
        <v>1</v>
      </c>
      <c r="E300" t="str">
        <f>IF(AND(C300&gt;5000,F300&lt;&gt;"East"),"High-Value Merchant Day","")</f>
        <v/>
      </c>
      <c r="F300" t="str">
        <f>_xlfn.XLOOKUP(A300,Merchants!A:A,Merchants!D:D)</f>
        <v>South</v>
      </c>
    </row>
    <row r="301" spans="1:6" x14ac:dyDescent="0.4">
      <c r="A301">
        <v>29</v>
      </c>
      <c r="B301" s="8">
        <v>46026</v>
      </c>
      <c r="C301" s="10">
        <v>99</v>
      </c>
      <c r="D301" s="10">
        <v>1</v>
      </c>
      <c r="E301" t="str">
        <f>IF(AND(C301&gt;5000,F301&lt;&gt;"East"),"High-Value Merchant Day","")</f>
        <v/>
      </c>
      <c r="F301" t="str">
        <f>_xlfn.XLOOKUP(A301,Merchants!A:A,Merchants!D:D)</f>
        <v>North</v>
      </c>
    </row>
    <row r="302" spans="1:6" x14ac:dyDescent="0.4">
      <c r="A302">
        <v>29</v>
      </c>
      <c r="B302" s="8">
        <v>46027</v>
      </c>
      <c r="C302" s="10">
        <v>799</v>
      </c>
      <c r="D302" s="10">
        <v>1</v>
      </c>
      <c r="E302" t="str">
        <f>IF(AND(C302&gt;5000,F302&lt;&gt;"East"),"High-Value Merchant Day","")</f>
        <v/>
      </c>
      <c r="F302" t="str">
        <f>_xlfn.XLOOKUP(A302,Merchants!A:A,Merchants!D:D)</f>
        <v>North</v>
      </c>
    </row>
    <row r="303" spans="1:6" x14ac:dyDescent="0.4">
      <c r="A303">
        <v>29</v>
      </c>
      <c r="B303" s="8">
        <v>46030</v>
      </c>
      <c r="C303" s="10">
        <v>2999</v>
      </c>
      <c r="D303" s="10">
        <v>1</v>
      </c>
      <c r="E303" t="str">
        <f>IF(AND(C303&gt;5000,F303&lt;&gt;"East"),"High-Value Merchant Day","")</f>
        <v/>
      </c>
      <c r="F303" t="str">
        <f>_xlfn.XLOOKUP(A303,Merchants!A:A,Merchants!D:D)</f>
        <v>North</v>
      </c>
    </row>
    <row r="304" spans="1:6" x14ac:dyDescent="0.4">
      <c r="A304">
        <v>29</v>
      </c>
      <c r="B304" s="8">
        <v>46031</v>
      </c>
      <c r="C304" s="10">
        <v>499</v>
      </c>
      <c r="D304" s="10">
        <v>1</v>
      </c>
      <c r="E304" t="str">
        <f>IF(AND(C304&gt;5000,F304&lt;&gt;"East"),"High-Value Merchant Day","")</f>
        <v/>
      </c>
      <c r="F304" t="str">
        <f>_xlfn.XLOOKUP(A304,Merchants!A:A,Merchants!D:D)</f>
        <v>North</v>
      </c>
    </row>
    <row r="305" spans="1:6" x14ac:dyDescent="0.4">
      <c r="A305">
        <v>29</v>
      </c>
      <c r="B305" s="8">
        <v>46034</v>
      </c>
      <c r="C305" s="10">
        <v>399</v>
      </c>
      <c r="D305" s="10">
        <v>1</v>
      </c>
      <c r="E305" t="str">
        <f>IF(AND(C305&gt;5000,F305&lt;&gt;"East"),"High-Value Merchant Day","")</f>
        <v/>
      </c>
      <c r="F305" t="str">
        <f>_xlfn.XLOOKUP(A305,Merchants!A:A,Merchants!D:D)</f>
        <v>North</v>
      </c>
    </row>
    <row r="306" spans="1:6" x14ac:dyDescent="0.4">
      <c r="A306">
        <v>29</v>
      </c>
      <c r="B306" s="8">
        <v>46036</v>
      </c>
      <c r="C306" s="10">
        <v>1998</v>
      </c>
      <c r="D306" s="10">
        <v>2</v>
      </c>
      <c r="E306" t="str">
        <f>IF(AND(C306&gt;5000,F306&lt;&gt;"East"),"High-Value Merchant Day","")</f>
        <v/>
      </c>
      <c r="F306" t="str">
        <f>_xlfn.XLOOKUP(A306,Merchants!A:A,Merchants!D:D)</f>
        <v>North</v>
      </c>
    </row>
    <row r="307" spans="1:6" x14ac:dyDescent="0.4">
      <c r="A307">
        <v>29</v>
      </c>
      <c r="B307" s="8">
        <v>46037</v>
      </c>
      <c r="C307" s="10">
        <v>1098</v>
      </c>
      <c r="D307" s="10">
        <v>2</v>
      </c>
      <c r="E307" t="str">
        <f>IF(AND(C307&gt;5000,F307&lt;&gt;"East"),"High-Value Merchant Day","")</f>
        <v/>
      </c>
      <c r="F307" t="str">
        <f>_xlfn.XLOOKUP(A307,Merchants!A:A,Merchants!D:D)</f>
        <v>North</v>
      </c>
    </row>
    <row r="308" spans="1:6" x14ac:dyDescent="0.4">
      <c r="A308">
        <v>29</v>
      </c>
      <c r="B308" s="8">
        <v>46039</v>
      </c>
      <c r="C308" s="10">
        <v>49</v>
      </c>
      <c r="D308" s="10">
        <v>1</v>
      </c>
      <c r="E308" t="str">
        <f>IF(AND(C308&gt;5000,F308&lt;&gt;"East"),"High-Value Merchant Day","")</f>
        <v/>
      </c>
      <c r="F308" t="str">
        <f>_xlfn.XLOOKUP(A308,Merchants!A:A,Merchants!D:D)</f>
        <v>North</v>
      </c>
    </row>
    <row r="309" spans="1:6" x14ac:dyDescent="0.4">
      <c r="A309">
        <v>29</v>
      </c>
      <c r="B309" s="8">
        <v>46041</v>
      </c>
      <c r="C309" s="10">
        <v>49</v>
      </c>
      <c r="D309" s="10">
        <v>1</v>
      </c>
      <c r="E309" t="str">
        <f>IF(AND(C309&gt;5000,F309&lt;&gt;"East"),"High-Value Merchant Day","")</f>
        <v/>
      </c>
      <c r="F309" t="str">
        <f>_xlfn.XLOOKUP(A309,Merchants!A:A,Merchants!D:D)</f>
        <v>North</v>
      </c>
    </row>
    <row r="310" spans="1:6" x14ac:dyDescent="0.4">
      <c r="A310">
        <v>29</v>
      </c>
      <c r="B310" s="8">
        <v>46042</v>
      </c>
      <c r="C310" s="10">
        <v>149</v>
      </c>
      <c r="D310" s="10">
        <v>1</v>
      </c>
      <c r="E310" t="str">
        <f>IF(AND(C310&gt;5000,F310&lt;&gt;"East"),"High-Value Merchant Day","")</f>
        <v/>
      </c>
      <c r="F310" t="str">
        <f>_xlfn.XLOOKUP(A310,Merchants!A:A,Merchants!D:D)</f>
        <v>North</v>
      </c>
    </row>
    <row r="311" spans="1:6" x14ac:dyDescent="0.4">
      <c r="A311">
        <v>29</v>
      </c>
      <c r="B311" s="8">
        <v>46047</v>
      </c>
      <c r="C311" s="10">
        <v>3896</v>
      </c>
      <c r="D311" s="10">
        <v>4</v>
      </c>
      <c r="E311" t="str">
        <f>IF(AND(C311&gt;5000,F311&lt;&gt;"East"),"High-Value Merchant Day","")</f>
        <v/>
      </c>
      <c r="F311" t="str">
        <f>_xlfn.XLOOKUP(A311,Merchants!A:A,Merchants!D:D)</f>
        <v>North</v>
      </c>
    </row>
    <row r="312" spans="1:6" x14ac:dyDescent="0.4">
      <c r="A312">
        <v>29</v>
      </c>
      <c r="B312" s="8">
        <v>46049</v>
      </c>
      <c r="C312" s="10">
        <v>898</v>
      </c>
      <c r="D312" s="10">
        <v>2</v>
      </c>
      <c r="E312" t="str">
        <f>IF(AND(C312&gt;5000,F312&lt;&gt;"East"),"High-Value Merchant Day","")</f>
        <v/>
      </c>
      <c r="F312" t="str">
        <f>_xlfn.XLOOKUP(A312,Merchants!A:A,Merchants!D:D)</f>
        <v>North</v>
      </c>
    </row>
    <row r="313" spans="1:6" x14ac:dyDescent="0.4">
      <c r="A313">
        <v>29</v>
      </c>
      <c r="B313" s="8">
        <v>46050</v>
      </c>
      <c r="C313" s="10">
        <v>149</v>
      </c>
      <c r="D313" s="10">
        <v>1</v>
      </c>
      <c r="E313" t="str">
        <f>IF(AND(C313&gt;5000,F313&lt;&gt;"East"),"High-Value Merchant Day","")</f>
        <v/>
      </c>
      <c r="F313" t="str">
        <f>_xlfn.XLOOKUP(A313,Merchants!A:A,Merchants!D:D)</f>
        <v>North</v>
      </c>
    </row>
    <row r="314" spans="1:6" x14ac:dyDescent="0.4">
      <c r="A314">
        <v>30</v>
      </c>
      <c r="B314" s="8">
        <v>46025</v>
      </c>
      <c r="C314" s="10">
        <v>149</v>
      </c>
      <c r="D314" s="10">
        <v>1</v>
      </c>
      <c r="E314" t="str">
        <f>IF(AND(C314&gt;5000,F314&lt;&gt;"East"),"High-Value Merchant Day","")</f>
        <v/>
      </c>
      <c r="F314" t="str">
        <f>_xlfn.XLOOKUP(A314,Merchants!A:A,Merchants!D:D)</f>
        <v>West</v>
      </c>
    </row>
    <row r="315" spans="1:6" x14ac:dyDescent="0.4">
      <c r="A315">
        <v>30</v>
      </c>
      <c r="B315" s="8">
        <v>46030</v>
      </c>
      <c r="C315" s="10">
        <v>1197</v>
      </c>
      <c r="D315" s="10">
        <v>3</v>
      </c>
      <c r="E315" t="str">
        <f>IF(AND(C315&gt;5000,F315&lt;&gt;"East"),"High-Value Merchant Day","")</f>
        <v/>
      </c>
      <c r="F315" t="str">
        <f>_xlfn.XLOOKUP(A315,Merchants!A:A,Merchants!D:D)</f>
        <v>West</v>
      </c>
    </row>
    <row r="316" spans="1:6" x14ac:dyDescent="0.4">
      <c r="A316">
        <v>30</v>
      </c>
      <c r="B316" s="8">
        <v>46031</v>
      </c>
      <c r="C316" s="10">
        <v>99</v>
      </c>
      <c r="D316" s="10">
        <v>1</v>
      </c>
      <c r="E316" t="str">
        <f>IF(AND(C316&gt;5000,F316&lt;&gt;"East"),"High-Value Merchant Day","")</f>
        <v/>
      </c>
      <c r="F316" t="str">
        <f>_xlfn.XLOOKUP(A316,Merchants!A:A,Merchants!D:D)</f>
        <v>West</v>
      </c>
    </row>
    <row r="317" spans="1:6" x14ac:dyDescent="0.4">
      <c r="A317">
        <v>30</v>
      </c>
      <c r="B317" s="8">
        <v>46034</v>
      </c>
      <c r="C317" s="10">
        <v>499</v>
      </c>
      <c r="D317" s="10">
        <v>1</v>
      </c>
      <c r="E317" t="str">
        <f>IF(AND(C317&gt;5000,F317&lt;&gt;"East"),"High-Value Merchant Day","")</f>
        <v/>
      </c>
      <c r="F317" t="str">
        <f>_xlfn.XLOOKUP(A317,Merchants!A:A,Merchants!D:D)</f>
        <v>West</v>
      </c>
    </row>
    <row r="318" spans="1:6" x14ac:dyDescent="0.4">
      <c r="A318">
        <v>30</v>
      </c>
      <c r="B318" s="8">
        <v>46035</v>
      </c>
      <c r="C318" s="10">
        <v>1499</v>
      </c>
      <c r="D318" s="10">
        <v>1</v>
      </c>
      <c r="E318" t="str">
        <f>IF(AND(C318&gt;5000,F318&lt;&gt;"East"),"High-Value Merchant Day","")</f>
        <v/>
      </c>
      <c r="F318" t="str">
        <f>_xlfn.XLOOKUP(A318,Merchants!A:A,Merchants!D:D)</f>
        <v>West</v>
      </c>
    </row>
    <row r="319" spans="1:6" x14ac:dyDescent="0.4">
      <c r="A319">
        <v>30</v>
      </c>
      <c r="B319" s="8">
        <v>46036</v>
      </c>
      <c r="C319" s="10">
        <v>2497</v>
      </c>
      <c r="D319" s="10">
        <v>3</v>
      </c>
      <c r="E319" t="str">
        <f>IF(AND(C319&gt;5000,F319&lt;&gt;"East"),"High-Value Merchant Day","")</f>
        <v/>
      </c>
      <c r="F319" t="str">
        <f>_xlfn.XLOOKUP(A319,Merchants!A:A,Merchants!D:D)</f>
        <v>West</v>
      </c>
    </row>
    <row r="320" spans="1:6" x14ac:dyDescent="0.4">
      <c r="A320">
        <v>30</v>
      </c>
      <c r="B320" s="8">
        <v>46037</v>
      </c>
      <c r="C320" s="10">
        <v>49</v>
      </c>
      <c r="D320" s="10">
        <v>1</v>
      </c>
      <c r="E320" t="str">
        <f>IF(AND(C320&gt;5000,F320&lt;&gt;"East"),"High-Value Merchant Day","")</f>
        <v/>
      </c>
      <c r="F320" t="str">
        <f>_xlfn.XLOOKUP(A320,Merchants!A:A,Merchants!D:D)</f>
        <v>West</v>
      </c>
    </row>
    <row r="321" spans="1:6" x14ac:dyDescent="0.4">
      <c r="A321">
        <v>30</v>
      </c>
      <c r="B321" s="8">
        <v>46039</v>
      </c>
      <c r="C321" s="10">
        <v>49</v>
      </c>
      <c r="D321" s="10">
        <v>1</v>
      </c>
      <c r="E321" t="str">
        <f>IF(AND(C321&gt;5000,F321&lt;&gt;"East"),"High-Value Merchant Day","")</f>
        <v/>
      </c>
      <c r="F321" t="str">
        <f>_xlfn.XLOOKUP(A321,Merchants!A:A,Merchants!D:D)</f>
        <v>West</v>
      </c>
    </row>
    <row r="322" spans="1:6" x14ac:dyDescent="0.4">
      <c r="A322">
        <v>30</v>
      </c>
      <c r="B322" s="8">
        <v>46040</v>
      </c>
      <c r="C322" s="10">
        <v>799</v>
      </c>
      <c r="D322" s="10">
        <v>1</v>
      </c>
      <c r="E322" t="str">
        <f>IF(AND(C322&gt;5000,F322&lt;&gt;"East"),"High-Value Merchant Day","")</f>
        <v/>
      </c>
      <c r="F322" t="str">
        <f>_xlfn.XLOOKUP(A322,Merchants!A:A,Merchants!D:D)</f>
        <v>West</v>
      </c>
    </row>
    <row r="323" spans="1:6" x14ac:dyDescent="0.4">
      <c r="A323">
        <v>30</v>
      </c>
      <c r="B323" s="8">
        <v>46048</v>
      </c>
      <c r="C323" s="10">
        <v>799</v>
      </c>
      <c r="D323" s="10">
        <v>1</v>
      </c>
      <c r="E323" t="str">
        <f>IF(AND(C323&gt;5000,F323&lt;&gt;"East"),"High-Value Merchant Day","")</f>
        <v/>
      </c>
      <c r="F323" t="str">
        <f>_xlfn.XLOOKUP(A323,Merchants!A:A,Merchants!D:D)</f>
        <v>West</v>
      </c>
    </row>
    <row r="324" spans="1:6" x14ac:dyDescent="0.4">
      <c r="A324">
        <v>30</v>
      </c>
      <c r="B324" s="8">
        <v>46050</v>
      </c>
      <c r="C324" s="10">
        <v>49</v>
      </c>
      <c r="D324" s="10">
        <v>1</v>
      </c>
      <c r="E324" t="str">
        <f>IF(AND(C324&gt;5000,F324&lt;&gt;"East"),"High-Value Merchant Day","")</f>
        <v/>
      </c>
      <c r="F324" t="str">
        <f>_xlfn.XLOOKUP(A324,Merchants!A:A,Merchants!D:D)</f>
        <v>West</v>
      </c>
    </row>
    <row r="325" spans="1:6" x14ac:dyDescent="0.4">
      <c r="A325">
        <v>30</v>
      </c>
      <c r="B325" s="8">
        <v>46051</v>
      </c>
      <c r="C325" s="10">
        <v>149</v>
      </c>
      <c r="D325" s="10">
        <v>1</v>
      </c>
      <c r="E325" t="str">
        <f>IF(AND(C325&gt;5000,F325&lt;&gt;"East"),"High-Value Merchant Day","")</f>
        <v/>
      </c>
      <c r="F325" t="str">
        <f>_xlfn.XLOOKUP(A325,Merchants!A:A,Merchants!D:D)</f>
        <v>West</v>
      </c>
    </row>
    <row r="326" spans="1:6" x14ac:dyDescent="0.4">
      <c r="A326">
        <v>30</v>
      </c>
      <c r="B326" s="8">
        <v>46052</v>
      </c>
      <c r="C326" s="10">
        <v>49</v>
      </c>
      <c r="D326" s="10">
        <v>1</v>
      </c>
      <c r="E326" t="str">
        <f>IF(AND(C326&gt;5000,F326&lt;&gt;"East"),"High-Value Merchant Day","")</f>
        <v/>
      </c>
      <c r="F326" t="str">
        <f>_xlfn.XLOOKUP(A326,Merchants!A:A,Merchants!D:D)</f>
        <v>West</v>
      </c>
    </row>
    <row r="327" spans="1:6" x14ac:dyDescent="0.4">
      <c r="A327">
        <v>31</v>
      </c>
      <c r="B327" s="8">
        <v>46027</v>
      </c>
      <c r="C327" s="10">
        <v>49</v>
      </c>
      <c r="D327" s="10">
        <v>1</v>
      </c>
      <c r="E327" t="str">
        <f>IF(AND(C327&gt;5000,F327&lt;&gt;"East"),"High-Value Merchant Day","")</f>
        <v/>
      </c>
      <c r="F327" t="str">
        <f>_xlfn.XLOOKUP(A327,Merchants!A:A,Merchants!D:D)</f>
        <v>East</v>
      </c>
    </row>
    <row r="328" spans="1:6" x14ac:dyDescent="0.4">
      <c r="A328">
        <v>31</v>
      </c>
      <c r="B328" s="8">
        <v>46029</v>
      </c>
      <c r="C328" s="10">
        <v>49</v>
      </c>
      <c r="D328" s="10">
        <v>1</v>
      </c>
      <c r="E328" t="str">
        <f>IF(AND(C328&gt;5000,F328&lt;&gt;"East"),"High-Value Merchant Day","")</f>
        <v/>
      </c>
      <c r="F328" t="str">
        <f>_xlfn.XLOOKUP(A328,Merchants!A:A,Merchants!D:D)</f>
        <v>East</v>
      </c>
    </row>
    <row r="329" spans="1:6" x14ac:dyDescent="0.4">
      <c r="A329">
        <v>31</v>
      </c>
      <c r="B329" s="8">
        <v>46031</v>
      </c>
      <c r="C329" s="10">
        <v>1499</v>
      </c>
      <c r="D329" s="10">
        <v>1</v>
      </c>
      <c r="E329" t="str">
        <f>IF(AND(C329&gt;5000,F329&lt;&gt;"East"),"High-Value Merchant Day","")</f>
        <v/>
      </c>
      <c r="F329" t="str">
        <f>_xlfn.XLOOKUP(A329,Merchants!A:A,Merchants!D:D)</f>
        <v>East</v>
      </c>
    </row>
    <row r="330" spans="1:6" x14ac:dyDescent="0.4">
      <c r="A330">
        <v>31</v>
      </c>
      <c r="B330" s="8">
        <v>46032</v>
      </c>
      <c r="C330" s="10">
        <v>499</v>
      </c>
      <c r="D330" s="10">
        <v>1</v>
      </c>
      <c r="E330" t="str">
        <f>IF(AND(C330&gt;5000,F330&lt;&gt;"East"),"High-Value Merchant Day","")</f>
        <v/>
      </c>
      <c r="F330" t="str">
        <f>_xlfn.XLOOKUP(A330,Merchants!A:A,Merchants!D:D)</f>
        <v>East</v>
      </c>
    </row>
    <row r="331" spans="1:6" x14ac:dyDescent="0.4">
      <c r="A331">
        <v>31</v>
      </c>
      <c r="B331" s="8">
        <v>46034</v>
      </c>
      <c r="C331" s="10">
        <v>598</v>
      </c>
      <c r="D331" s="10">
        <v>2</v>
      </c>
      <c r="E331" t="str">
        <f>IF(AND(C331&gt;5000,F331&lt;&gt;"East"),"High-Value Merchant Day","")</f>
        <v/>
      </c>
      <c r="F331" t="str">
        <f>_xlfn.XLOOKUP(A331,Merchants!A:A,Merchants!D:D)</f>
        <v>East</v>
      </c>
    </row>
    <row r="332" spans="1:6" x14ac:dyDescent="0.4">
      <c r="A332">
        <v>31</v>
      </c>
      <c r="B332" s="8">
        <v>46035</v>
      </c>
      <c r="C332" s="10">
        <v>299</v>
      </c>
      <c r="D332" s="10">
        <v>1</v>
      </c>
      <c r="E332" t="str">
        <f>IF(AND(C332&gt;5000,F332&lt;&gt;"East"),"High-Value Merchant Day","")</f>
        <v/>
      </c>
      <c r="F332" t="str">
        <f>_xlfn.XLOOKUP(A332,Merchants!A:A,Merchants!D:D)</f>
        <v>East</v>
      </c>
    </row>
    <row r="333" spans="1:6" x14ac:dyDescent="0.4">
      <c r="A333">
        <v>31</v>
      </c>
      <c r="B333" s="8">
        <v>46036</v>
      </c>
      <c r="C333" s="10">
        <v>499</v>
      </c>
      <c r="D333" s="10">
        <v>1</v>
      </c>
      <c r="E333" t="str">
        <f>IF(AND(C333&gt;5000,F333&lt;&gt;"East"),"High-Value Merchant Day","")</f>
        <v/>
      </c>
      <c r="F333" t="str">
        <f>_xlfn.XLOOKUP(A333,Merchants!A:A,Merchants!D:D)</f>
        <v>East</v>
      </c>
    </row>
    <row r="334" spans="1:6" x14ac:dyDescent="0.4">
      <c r="A334">
        <v>31</v>
      </c>
      <c r="B334" s="8">
        <v>46037</v>
      </c>
      <c r="C334" s="10">
        <v>299</v>
      </c>
      <c r="D334" s="10">
        <v>1</v>
      </c>
      <c r="E334" t="str">
        <f>IF(AND(C334&gt;5000,F334&lt;&gt;"East"),"High-Value Merchant Day","")</f>
        <v/>
      </c>
      <c r="F334" t="str">
        <f>_xlfn.XLOOKUP(A334,Merchants!A:A,Merchants!D:D)</f>
        <v>East</v>
      </c>
    </row>
    <row r="335" spans="1:6" x14ac:dyDescent="0.4">
      <c r="A335">
        <v>31</v>
      </c>
      <c r="B335" s="8">
        <v>46038</v>
      </c>
      <c r="C335" s="10">
        <v>499</v>
      </c>
      <c r="D335" s="10">
        <v>1</v>
      </c>
      <c r="E335" t="str">
        <f>IF(AND(C335&gt;5000,F335&lt;&gt;"East"),"High-Value Merchant Day","")</f>
        <v/>
      </c>
      <c r="F335" t="str">
        <f>_xlfn.XLOOKUP(A335,Merchants!A:A,Merchants!D:D)</f>
        <v>East</v>
      </c>
    </row>
    <row r="336" spans="1:6" x14ac:dyDescent="0.4">
      <c r="A336">
        <v>31</v>
      </c>
      <c r="B336" s="8">
        <v>46040</v>
      </c>
      <c r="C336" s="10">
        <v>49</v>
      </c>
      <c r="D336" s="10">
        <v>1</v>
      </c>
      <c r="E336" t="str">
        <f>IF(AND(C336&gt;5000,F336&lt;&gt;"East"),"High-Value Merchant Day","")</f>
        <v/>
      </c>
      <c r="F336" t="str">
        <f>_xlfn.XLOOKUP(A336,Merchants!A:A,Merchants!D:D)</f>
        <v>East</v>
      </c>
    </row>
    <row r="337" spans="1:6" x14ac:dyDescent="0.4">
      <c r="A337">
        <v>31</v>
      </c>
      <c r="B337" s="8">
        <v>46043</v>
      </c>
      <c r="C337" s="10">
        <v>49</v>
      </c>
      <c r="D337" s="10">
        <v>1</v>
      </c>
      <c r="E337" t="str">
        <f>IF(AND(C337&gt;5000,F337&lt;&gt;"East"),"High-Value Merchant Day","")</f>
        <v/>
      </c>
      <c r="F337" t="str">
        <f>_xlfn.XLOOKUP(A337,Merchants!A:A,Merchants!D:D)</f>
        <v>East</v>
      </c>
    </row>
    <row r="338" spans="1:6" x14ac:dyDescent="0.4">
      <c r="A338">
        <v>31</v>
      </c>
      <c r="B338" s="8">
        <v>46044</v>
      </c>
      <c r="C338" s="10">
        <v>99</v>
      </c>
      <c r="D338" s="10">
        <v>1</v>
      </c>
      <c r="E338" t="str">
        <f>IF(AND(C338&gt;5000,F338&lt;&gt;"East"),"High-Value Merchant Day","")</f>
        <v/>
      </c>
      <c r="F338" t="str">
        <f>_xlfn.XLOOKUP(A338,Merchants!A:A,Merchants!D:D)</f>
        <v>East</v>
      </c>
    </row>
    <row r="339" spans="1:6" x14ac:dyDescent="0.4">
      <c r="A339">
        <v>31</v>
      </c>
      <c r="B339" s="8">
        <v>46050</v>
      </c>
      <c r="C339" s="10">
        <v>299</v>
      </c>
      <c r="D339" s="10">
        <v>1</v>
      </c>
      <c r="E339" t="str">
        <f>IF(AND(C339&gt;5000,F339&lt;&gt;"East"),"High-Value Merchant Day","")</f>
        <v/>
      </c>
      <c r="F339" t="str">
        <f>_xlfn.XLOOKUP(A339,Merchants!A:A,Merchants!D:D)</f>
        <v>East</v>
      </c>
    </row>
    <row r="340" spans="1:6" x14ac:dyDescent="0.4">
      <c r="A340">
        <v>31</v>
      </c>
      <c r="B340" s="8">
        <v>46051</v>
      </c>
      <c r="C340" s="10">
        <v>49</v>
      </c>
      <c r="D340" s="10">
        <v>1</v>
      </c>
      <c r="E340" t="str">
        <f>IF(AND(C340&gt;5000,F340&lt;&gt;"East"),"High-Value Merchant Day","")</f>
        <v/>
      </c>
      <c r="F340" t="str">
        <f>_xlfn.XLOOKUP(A340,Merchants!A:A,Merchants!D:D)</f>
        <v>East</v>
      </c>
    </row>
    <row r="341" spans="1:6" x14ac:dyDescent="0.4">
      <c r="A341">
        <v>32</v>
      </c>
      <c r="B341" s="8">
        <v>46025</v>
      </c>
      <c r="C341" s="10">
        <v>149</v>
      </c>
      <c r="D341" s="10">
        <v>1</v>
      </c>
      <c r="E341" t="str">
        <f>IF(AND(C341&gt;5000,F341&lt;&gt;"East"),"High-Value Merchant Day","")</f>
        <v/>
      </c>
      <c r="F341" t="str">
        <f>_xlfn.XLOOKUP(A341,Merchants!A:A,Merchants!D:D)</f>
        <v>West</v>
      </c>
    </row>
    <row r="342" spans="1:6" x14ac:dyDescent="0.4">
      <c r="A342">
        <v>32</v>
      </c>
      <c r="B342" s="8">
        <v>46026</v>
      </c>
      <c r="C342" s="10">
        <v>49</v>
      </c>
      <c r="D342" s="10">
        <v>1</v>
      </c>
      <c r="E342" t="str">
        <f>IF(AND(C342&gt;5000,F342&lt;&gt;"East"),"High-Value Merchant Day","")</f>
        <v/>
      </c>
      <c r="F342" t="str">
        <f>_xlfn.XLOOKUP(A342,Merchants!A:A,Merchants!D:D)</f>
        <v>West</v>
      </c>
    </row>
    <row r="343" spans="1:6" x14ac:dyDescent="0.4">
      <c r="A343">
        <v>32</v>
      </c>
      <c r="B343" s="8">
        <v>46028</v>
      </c>
      <c r="C343" s="10">
        <v>149</v>
      </c>
      <c r="D343" s="10">
        <v>1</v>
      </c>
      <c r="E343" t="str">
        <f>IF(AND(C343&gt;5000,F343&lt;&gt;"East"),"High-Value Merchant Day","")</f>
        <v/>
      </c>
      <c r="F343" t="str">
        <f>_xlfn.XLOOKUP(A343,Merchants!A:A,Merchants!D:D)</f>
        <v>West</v>
      </c>
    </row>
    <row r="344" spans="1:6" x14ac:dyDescent="0.4">
      <c r="A344">
        <v>32</v>
      </c>
      <c r="B344" s="8">
        <v>46031</v>
      </c>
      <c r="C344" s="10">
        <v>499</v>
      </c>
      <c r="D344" s="10">
        <v>1</v>
      </c>
      <c r="E344" t="str">
        <f>IF(AND(C344&gt;5000,F344&lt;&gt;"East"),"High-Value Merchant Day","")</f>
        <v/>
      </c>
      <c r="F344" t="str">
        <f>_xlfn.XLOOKUP(A344,Merchants!A:A,Merchants!D:D)</f>
        <v>West</v>
      </c>
    </row>
    <row r="345" spans="1:6" x14ac:dyDescent="0.4">
      <c r="A345">
        <v>32</v>
      </c>
      <c r="B345" s="8">
        <v>46035</v>
      </c>
      <c r="C345" s="10">
        <v>1999</v>
      </c>
      <c r="D345" s="10">
        <v>1</v>
      </c>
      <c r="E345" t="str">
        <f>IF(AND(C345&gt;5000,F345&lt;&gt;"East"),"High-Value Merchant Day","")</f>
        <v/>
      </c>
      <c r="F345" t="str">
        <f>_xlfn.XLOOKUP(A345,Merchants!A:A,Merchants!D:D)</f>
        <v>West</v>
      </c>
    </row>
    <row r="346" spans="1:6" x14ac:dyDescent="0.4">
      <c r="A346">
        <v>32</v>
      </c>
      <c r="B346" s="8">
        <v>46037</v>
      </c>
      <c r="C346" s="10">
        <v>148</v>
      </c>
      <c r="D346" s="10">
        <v>2</v>
      </c>
      <c r="E346" t="str">
        <f>IF(AND(C346&gt;5000,F346&lt;&gt;"East"),"High-Value Merchant Day","")</f>
        <v/>
      </c>
      <c r="F346" t="str">
        <f>_xlfn.XLOOKUP(A346,Merchants!A:A,Merchants!D:D)</f>
        <v>West</v>
      </c>
    </row>
    <row r="347" spans="1:6" x14ac:dyDescent="0.4">
      <c r="A347">
        <v>32</v>
      </c>
      <c r="B347" s="8">
        <v>46040</v>
      </c>
      <c r="C347" s="10">
        <v>149</v>
      </c>
      <c r="D347" s="10">
        <v>1</v>
      </c>
      <c r="E347" t="str">
        <f>IF(AND(C347&gt;5000,F347&lt;&gt;"East"),"High-Value Merchant Day","")</f>
        <v/>
      </c>
      <c r="F347" t="str">
        <f>_xlfn.XLOOKUP(A347,Merchants!A:A,Merchants!D:D)</f>
        <v>West</v>
      </c>
    </row>
    <row r="348" spans="1:6" x14ac:dyDescent="0.4">
      <c r="A348">
        <v>32</v>
      </c>
      <c r="B348" s="8">
        <v>46043</v>
      </c>
      <c r="C348" s="10">
        <v>348</v>
      </c>
      <c r="D348" s="10">
        <v>2</v>
      </c>
      <c r="E348" t="str">
        <f>IF(AND(C348&gt;5000,F348&lt;&gt;"East"),"High-Value Merchant Day","")</f>
        <v/>
      </c>
      <c r="F348" t="str">
        <f>_xlfn.XLOOKUP(A348,Merchants!A:A,Merchants!D:D)</f>
        <v>West</v>
      </c>
    </row>
    <row r="349" spans="1:6" x14ac:dyDescent="0.4">
      <c r="A349">
        <v>32</v>
      </c>
      <c r="B349" s="8">
        <v>46046</v>
      </c>
      <c r="C349" s="10">
        <v>49</v>
      </c>
      <c r="D349" s="10">
        <v>1</v>
      </c>
      <c r="E349" t="str">
        <f>IF(AND(C349&gt;5000,F349&lt;&gt;"East"),"High-Value Merchant Day","")</f>
        <v/>
      </c>
      <c r="F349" t="str">
        <f>_xlfn.XLOOKUP(A349,Merchants!A:A,Merchants!D:D)</f>
        <v>West</v>
      </c>
    </row>
    <row r="350" spans="1:6" x14ac:dyDescent="0.4">
      <c r="A350">
        <v>32</v>
      </c>
      <c r="B350" s="8">
        <v>46047</v>
      </c>
      <c r="C350" s="10">
        <v>49</v>
      </c>
      <c r="D350" s="10">
        <v>1</v>
      </c>
      <c r="E350" t="str">
        <f>IF(AND(C350&gt;5000,F350&lt;&gt;"East"),"High-Value Merchant Day","")</f>
        <v/>
      </c>
      <c r="F350" t="str">
        <f>_xlfn.XLOOKUP(A350,Merchants!A:A,Merchants!D:D)</f>
        <v>West</v>
      </c>
    </row>
    <row r="351" spans="1:6" x14ac:dyDescent="0.4">
      <c r="A351">
        <v>32</v>
      </c>
      <c r="B351" s="8">
        <v>46049</v>
      </c>
      <c r="C351" s="10">
        <v>1499</v>
      </c>
      <c r="D351" s="10">
        <v>1</v>
      </c>
      <c r="E351" t="str">
        <f>IF(AND(C351&gt;5000,F351&lt;&gt;"East"),"High-Value Merchant Day","")</f>
        <v/>
      </c>
      <c r="F351" t="str">
        <f>_xlfn.XLOOKUP(A351,Merchants!A:A,Merchants!D:D)</f>
        <v>West</v>
      </c>
    </row>
    <row r="352" spans="1:6" x14ac:dyDescent="0.4">
      <c r="A352">
        <v>32</v>
      </c>
      <c r="B352" s="8">
        <v>46050</v>
      </c>
      <c r="C352" s="10">
        <v>2999</v>
      </c>
      <c r="D352" s="10">
        <v>1</v>
      </c>
      <c r="E352" t="str">
        <f>IF(AND(C352&gt;5000,F352&lt;&gt;"East"),"High-Value Merchant Day","")</f>
        <v/>
      </c>
      <c r="F352" t="str">
        <f>_xlfn.XLOOKUP(A352,Merchants!A:A,Merchants!D:D)</f>
        <v>West</v>
      </c>
    </row>
    <row r="353" spans="1:6" x14ac:dyDescent="0.4">
      <c r="A353">
        <v>33</v>
      </c>
      <c r="B353" s="8">
        <v>46025</v>
      </c>
      <c r="C353" s="10">
        <v>149</v>
      </c>
      <c r="D353" s="10">
        <v>1</v>
      </c>
      <c r="E353" t="str">
        <f>IF(AND(C353&gt;5000,F353&lt;&gt;"East"),"High-Value Merchant Day","")</f>
        <v/>
      </c>
      <c r="F353" t="str">
        <f>_xlfn.XLOOKUP(A353,Merchants!A:A,Merchants!D:D)</f>
        <v>East</v>
      </c>
    </row>
    <row r="354" spans="1:6" x14ac:dyDescent="0.4">
      <c r="A354">
        <v>33</v>
      </c>
      <c r="B354" s="8">
        <v>46026</v>
      </c>
      <c r="C354" s="10">
        <v>4999</v>
      </c>
      <c r="D354" s="10">
        <v>1</v>
      </c>
      <c r="E354" t="str">
        <f>IF(AND(C354&gt;5000,F354&lt;&gt;"East"),"High-Value Merchant Day","")</f>
        <v/>
      </c>
      <c r="F354" t="str">
        <f>_xlfn.XLOOKUP(A354,Merchants!A:A,Merchants!D:D)</f>
        <v>East</v>
      </c>
    </row>
    <row r="355" spans="1:6" x14ac:dyDescent="0.4">
      <c r="A355">
        <v>33</v>
      </c>
      <c r="B355" s="8">
        <v>46034</v>
      </c>
      <c r="C355" s="10">
        <v>299</v>
      </c>
      <c r="D355" s="10">
        <v>1</v>
      </c>
      <c r="E355" t="str">
        <f>IF(AND(C355&gt;5000,F355&lt;&gt;"East"),"High-Value Merchant Day","")</f>
        <v/>
      </c>
      <c r="F355" t="str">
        <f>_xlfn.XLOOKUP(A355,Merchants!A:A,Merchants!D:D)</f>
        <v>East</v>
      </c>
    </row>
    <row r="356" spans="1:6" x14ac:dyDescent="0.4">
      <c r="A356">
        <v>33</v>
      </c>
      <c r="B356" s="8">
        <v>46037</v>
      </c>
      <c r="C356" s="10">
        <v>799</v>
      </c>
      <c r="D356" s="10">
        <v>1</v>
      </c>
      <c r="E356" t="str">
        <f>IF(AND(C356&gt;5000,F356&lt;&gt;"East"),"High-Value Merchant Day","")</f>
        <v/>
      </c>
      <c r="F356" t="str">
        <f>_xlfn.XLOOKUP(A356,Merchants!A:A,Merchants!D:D)</f>
        <v>East</v>
      </c>
    </row>
    <row r="357" spans="1:6" x14ac:dyDescent="0.4">
      <c r="A357">
        <v>33</v>
      </c>
      <c r="B357" s="8">
        <v>46042</v>
      </c>
      <c r="C357" s="10">
        <v>499</v>
      </c>
      <c r="D357" s="10">
        <v>1</v>
      </c>
      <c r="E357" t="str">
        <f>IF(AND(C357&gt;5000,F357&lt;&gt;"East"),"High-Value Merchant Day","")</f>
        <v/>
      </c>
      <c r="F357" t="str">
        <f>_xlfn.XLOOKUP(A357,Merchants!A:A,Merchants!D:D)</f>
        <v>East</v>
      </c>
    </row>
    <row r="358" spans="1:6" x14ac:dyDescent="0.4">
      <c r="A358">
        <v>33</v>
      </c>
      <c r="B358" s="8">
        <v>46043</v>
      </c>
      <c r="C358" s="10">
        <v>3298</v>
      </c>
      <c r="D358" s="10">
        <v>2</v>
      </c>
      <c r="E358" t="str">
        <f>IF(AND(C358&gt;5000,F358&lt;&gt;"East"),"High-Value Merchant Day","")</f>
        <v/>
      </c>
      <c r="F358" t="str">
        <f>_xlfn.XLOOKUP(A358,Merchants!A:A,Merchants!D:D)</f>
        <v>East</v>
      </c>
    </row>
    <row r="359" spans="1:6" x14ac:dyDescent="0.4">
      <c r="A359">
        <v>33</v>
      </c>
      <c r="B359" s="8">
        <v>46044</v>
      </c>
      <c r="C359" s="10">
        <v>99</v>
      </c>
      <c r="D359" s="10">
        <v>1</v>
      </c>
      <c r="E359" t="str">
        <f>IF(AND(C359&gt;5000,F359&lt;&gt;"East"),"High-Value Merchant Day","")</f>
        <v/>
      </c>
      <c r="F359" t="str">
        <f>_xlfn.XLOOKUP(A359,Merchants!A:A,Merchants!D:D)</f>
        <v>East</v>
      </c>
    </row>
    <row r="360" spans="1:6" x14ac:dyDescent="0.4">
      <c r="A360">
        <v>33</v>
      </c>
      <c r="B360" s="8">
        <v>46045</v>
      </c>
      <c r="C360" s="10">
        <v>49</v>
      </c>
      <c r="D360" s="10">
        <v>1</v>
      </c>
      <c r="E360" t="str">
        <f>IF(AND(C360&gt;5000,F360&lt;&gt;"East"),"High-Value Merchant Day","")</f>
        <v/>
      </c>
      <c r="F360" t="str">
        <f>_xlfn.XLOOKUP(A360,Merchants!A:A,Merchants!D:D)</f>
        <v>East</v>
      </c>
    </row>
    <row r="361" spans="1:6" x14ac:dyDescent="0.4">
      <c r="A361">
        <v>33</v>
      </c>
      <c r="B361" s="8">
        <v>46046</v>
      </c>
      <c r="C361" s="10">
        <v>49</v>
      </c>
      <c r="D361" s="10">
        <v>1</v>
      </c>
      <c r="E361" t="str">
        <f>IF(AND(C361&gt;5000,F361&lt;&gt;"East"),"High-Value Merchant Day","")</f>
        <v/>
      </c>
      <c r="F361" t="str">
        <f>_xlfn.XLOOKUP(A361,Merchants!A:A,Merchants!D:D)</f>
        <v>East</v>
      </c>
    </row>
    <row r="362" spans="1:6" x14ac:dyDescent="0.4">
      <c r="A362">
        <v>33</v>
      </c>
      <c r="B362" s="8">
        <v>46047</v>
      </c>
      <c r="C362" s="10">
        <v>99</v>
      </c>
      <c r="D362" s="10">
        <v>1</v>
      </c>
      <c r="E362" t="str">
        <f>IF(AND(C362&gt;5000,F362&lt;&gt;"East"),"High-Value Merchant Day","")</f>
        <v/>
      </c>
      <c r="F362" t="str">
        <f>_xlfn.XLOOKUP(A362,Merchants!A:A,Merchants!D:D)</f>
        <v>East</v>
      </c>
    </row>
    <row r="363" spans="1:6" x14ac:dyDescent="0.4">
      <c r="A363">
        <v>34</v>
      </c>
      <c r="B363" s="8">
        <v>46024</v>
      </c>
      <c r="C363" s="10">
        <v>548</v>
      </c>
      <c r="D363" s="10">
        <v>2</v>
      </c>
      <c r="E363" t="str">
        <f>IF(AND(C363&gt;5000,F363&lt;&gt;"East"),"High-Value Merchant Day","")</f>
        <v/>
      </c>
      <c r="F363" t="str">
        <f>_xlfn.XLOOKUP(A363,Merchants!A:A,Merchants!D:D)</f>
        <v>South</v>
      </c>
    </row>
    <row r="364" spans="1:6" x14ac:dyDescent="0.4">
      <c r="A364">
        <v>34</v>
      </c>
      <c r="B364" s="8">
        <v>46027</v>
      </c>
      <c r="C364" s="10">
        <v>2999</v>
      </c>
      <c r="D364" s="10">
        <v>1</v>
      </c>
      <c r="E364" t="str">
        <f>IF(AND(C364&gt;5000,F364&lt;&gt;"East"),"High-Value Merchant Day","")</f>
        <v/>
      </c>
      <c r="F364" t="str">
        <f>_xlfn.XLOOKUP(A364,Merchants!A:A,Merchants!D:D)</f>
        <v>South</v>
      </c>
    </row>
    <row r="365" spans="1:6" x14ac:dyDescent="0.4">
      <c r="A365">
        <v>34</v>
      </c>
      <c r="B365" s="8">
        <v>46031</v>
      </c>
      <c r="C365" s="10">
        <v>299</v>
      </c>
      <c r="D365" s="10">
        <v>1</v>
      </c>
      <c r="E365" t="str">
        <f>IF(AND(C365&gt;5000,F365&lt;&gt;"East"),"High-Value Merchant Day","")</f>
        <v/>
      </c>
      <c r="F365" t="str">
        <f>_xlfn.XLOOKUP(A365,Merchants!A:A,Merchants!D:D)</f>
        <v>South</v>
      </c>
    </row>
    <row r="366" spans="1:6" x14ac:dyDescent="0.4">
      <c r="A366">
        <v>34</v>
      </c>
      <c r="B366" s="8">
        <v>46032</v>
      </c>
      <c r="C366" s="10">
        <v>49</v>
      </c>
      <c r="D366" s="10">
        <v>1</v>
      </c>
      <c r="E366" t="str">
        <f>IF(AND(C366&gt;5000,F366&lt;&gt;"East"),"High-Value Merchant Day","")</f>
        <v/>
      </c>
      <c r="F366" t="str">
        <f>_xlfn.XLOOKUP(A366,Merchants!A:A,Merchants!D:D)</f>
        <v>South</v>
      </c>
    </row>
    <row r="367" spans="1:6" x14ac:dyDescent="0.4">
      <c r="A367">
        <v>34</v>
      </c>
      <c r="B367" s="8">
        <v>46034</v>
      </c>
      <c r="C367" s="10">
        <v>399</v>
      </c>
      <c r="D367" s="10">
        <v>1</v>
      </c>
      <c r="E367" t="str">
        <f>IF(AND(C367&gt;5000,F367&lt;&gt;"East"),"High-Value Merchant Day","")</f>
        <v/>
      </c>
      <c r="F367" t="str">
        <f>_xlfn.XLOOKUP(A367,Merchants!A:A,Merchants!D:D)</f>
        <v>South</v>
      </c>
    </row>
    <row r="368" spans="1:6" x14ac:dyDescent="0.4">
      <c r="A368">
        <v>34</v>
      </c>
      <c r="B368" s="8">
        <v>46039</v>
      </c>
      <c r="C368" s="10">
        <v>299</v>
      </c>
      <c r="D368" s="10">
        <v>1</v>
      </c>
      <c r="E368" t="str">
        <f>IF(AND(C368&gt;5000,F368&lt;&gt;"East"),"High-Value Merchant Day","")</f>
        <v/>
      </c>
      <c r="F368" t="str">
        <f>_xlfn.XLOOKUP(A368,Merchants!A:A,Merchants!D:D)</f>
        <v>South</v>
      </c>
    </row>
    <row r="369" spans="1:6" x14ac:dyDescent="0.4">
      <c r="A369">
        <v>34</v>
      </c>
      <c r="B369" s="8">
        <v>46040</v>
      </c>
      <c r="C369" s="10">
        <v>148</v>
      </c>
      <c r="D369" s="10">
        <v>2</v>
      </c>
      <c r="E369" t="str">
        <f>IF(AND(C369&gt;5000,F369&lt;&gt;"East"),"High-Value Merchant Day","")</f>
        <v/>
      </c>
      <c r="F369" t="str">
        <f>_xlfn.XLOOKUP(A369,Merchants!A:A,Merchants!D:D)</f>
        <v>South</v>
      </c>
    </row>
    <row r="370" spans="1:6" x14ac:dyDescent="0.4">
      <c r="A370">
        <v>34</v>
      </c>
      <c r="B370" s="8">
        <v>46041</v>
      </c>
      <c r="C370" s="10">
        <v>499</v>
      </c>
      <c r="D370" s="10">
        <v>1</v>
      </c>
      <c r="E370" t="str">
        <f>IF(AND(C370&gt;5000,F370&lt;&gt;"East"),"High-Value Merchant Day","")</f>
        <v/>
      </c>
      <c r="F370" t="str">
        <f>_xlfn.XLOOKUP(A370,Merchants!A:A,Merchants!D:D)</f>
        <v>South</v>
      </c>
    </row>
    <row r="371" spans="1:6" x14ac:dyDescent="0.4">
      <c r="A371">
        <v>34</v>
      </c>
      <c r="B371" s="8">
        <v>46043</v>
      </c>
      <c r="C371" s="10">
        <v>799</v>
      </c>
      <c r="D371" s="10">
        <v>1</v>
      </c>
      <c r="E371" t="str">
        <f>IF(AND(C371&gt;5000,F371&lt;&gt;"East"),"High-Value Merchant Day","")</f>
        <v/>
      </c>
      <c r="F371" t="str">
        <f>_xlfn.XLOOKUP(A371,Merchants!A:A,Merchants!D:D)</f>
        <v>South</v>
      </c>
    </row>
    <row r="372" spans="1:6" x14ac:dyDescent="0.4">
      <c r="A372">
        <v>34</v>
      </c>
      <c r="B372" s="8">
        <v>46044</v>
      </c>
      <c r="C372" s="10">
        <v>299</v>
      </c>
      <c r="D372" s="10">
        <v>1</v>
      </c>
      <c r="E372" t="str">
        <f>IF(AND(C372&gt;5000,F372&lt;&gt;"East"),"High-Value Merchant Day","")</f>
        <v/>
      </c>
      <c r="F372" t="str">
        <f>_xlfn.XLOOKUP(A372,Merchants!A:A,Merchants!D:D)</f>
        <v>South</v>
      </c>
    </row>
    <row r="373" spans="1:6" x14ac:dyDescent="0.4">
      <c r="A373">
        <v>34</v>
      </c>
      <c r="B373" s="8">
        <v>46045</v>
      </c>
      <c r="C373" s="10">
        <v>3148</v>
      </c>
      <c r="D373" s="10">
        <v>2</v>
      </c>
      <c r="E373" t="str">
        <f>IF(AND(C373&gt;5000,F373&lt;&gt;"East"),"High-Value Merchant Day","")</f>
        <v/>
      </c>
      <c r="F373" t="str">
        <f>_xlfn.XLOOKUP(A373,Merchants!A:A,Merchants!D:D)</f>
        <v>South</v>
      </c>
    </row>
    <row r="374" spans="1:6" x14ac:dyDescent="0.4">
      <c r="A374">
        <v>34</v>
      </c>
      <c r="B374" s="8">
        <v>46046</v>
      </c>
      <c r="C374" s="10">
        <v>548</v>
      </c>
      <c r="D374" s="10">
        <v>2</v>
      </c>
      <c r="E374" t="str">
        <f>IF(AND(C374&gt;5000,F374&lt;&gt;"East"),"High-Value Merchant Day","")</f>
        <v/>
      </c>
      <c r="F374" t="str">
        <f>_xlfn.XLOOKUP(A374,Merchants!A:A,Merchants!D:D)</f>
        <v>South</v>
      </c>
    </row>
    <row r="375" spans="1:6" x14ac:dyDescent="0.4">
      <c r="A375">
        <v>35</v>
      </c>
      <c r="B375" s="8">
        <v>46023</v>
      </c>
      <c r="C375" s="10">
        <v>798</v>
      </c>
      <c r="D375" s="10">
        <v>2</v>
      </c>
      <c r="E375" t="str">
        <f>IF(AND(C375&gt;5000,F375&lt;&gt;"East"),"High-Value Merchant Day","")</f>
        <v/>
      </c>
      <c r="F375" t="str">
        <f>_xlfn.XLOOKUP(A375,Merchants!A:A,Merchants!D:D)</f>
        <v>East</v>
      </c>
    </row>
    <row r="376" spans="1:6" x14ac:dyDescent="0.4">
      <c r="A376">
        <v>35</v>
      </c>
      <c r="B376" s="8">
        <v>46024</v>
      </c>
      <c r="C376" s="10">
        <v>1847</v>
      </c>
      <c r="D376" s="10">
        <v>3</v>
      </c>
      <c r="E376" t="str">
        <f>IF(AND(C376&gt;5000,F376&lt;&gt;"East"),"High-Value Merchant Day","")</f>
        <v/>
      </c>
      <c r="F376" t="str">
        <f>_xlfn.XLOOKUP(A376,Merchants!A:A,Merchants!D:D)</f>
        <v>East</v>
      </c>
    </row>
    <row r="377" spans="1:6" x14ac:dyDescent="0.4">
      <c r="A377">
        <v>35</v>
      </c>
      <c r="B377" s="8">
        <v>46033</v>
      </c>
      <c r="C377" s="10">
        <v>4999</v>
      </c>
      <c r="D377" s="10">
        <v>1</v>
      </c>
      <c r="E377" t="str">
        <f>IF(AND(C377&gt;5000,F377&lt;&gt;"East"),"High-Value Merchant Day","")</f>
        <v/>
      </c>
      <c r="F377" t="str">
        <f>_xlfn.XLOOKUP(A377,Merchants!A:A,Merchants!D:D)</f>
        <v>East</v>
      </c>
    </row>
    <row r="378" spans="1:6" x14ac:dyDescent="0.4">
      <c r="A378">
        <v>35</v>
      </c>
      <c r="B378" s="8">
        <v>46034</v>
      </c>
      <c r="C378" s="10">
        <v>99</v>
      </c>
      <c r="D378" s="10">
        <v>1</v>
      </c>
      <c r="E378" t="str">
        <f>IF(AND(C378&gt;5000,F378&lt;&gt;"East"),"High-Value Merchant Day","")</f>
        <v/>
      </c>
      <c r="F378" t="str">
        <f>_xlfn.XLOOKUP(A378,Merchants!A:A,Merchants!D:D)</f>
        <v>East</v>
      </c>
    </row>
    <row r="379" spans="1:6" x14ac:dyDescent="0.4">
      <c r="A379">
        <v>35</v>
      </c>
      <c r="B379" s="8">
        <v>46035</v>
      </c>
      <c r="C379" s="10">
        <v>149</v>
      </c>
      <c r="D379" s="10">
        <v>1</v>
      </c>
      <c r="E379" t="str">
        <f>IF(AND(C379&gt;5000,F379&lt;&gt;"East"),"High-Value Merchant Day","")</f>
        <v/>
      </c>
      <c r="F379" t="str">
        <f>_xlfn.XLOOKUP(A379,Merchants!A:A,Merchants!D:D)</f>
        <v>East</v>
      </c>
    </row>
    <row r="380" spans="1:6" x14ac:dyDescent="0.4">
      <c r="A380">
        <v>35</v>
      </c>
      <c r="B380" s="8">
        <v>46043</v>
      </c>
      <c r="C380" s="10">
        <v>299</v>
      </c>
      <c r="D380" s="10">
        <v>1</v>
      </c>
      <c r="E380" t="str">
        <f>IF(AND(C380&gt;5000,F380&lt;&gt;"East"),"High-Value Merchant Day","")</f>
        <v/>
      </c>
      <c r="F380" t="str">
        <f>_xlfn.XLOOKUP(A380,Merchants!A:A,Merchants!D:D)</f>
        <v>East</v>
      </c>
    </row>
    <row r="381" spans="1:6" x14ac:dyDescent="0.4">
      <c r="A381">
        <v>35</v>
      </c>
      <c r="B381" s="8">
        <v>46044</v>
      </c>
      <c r="C381" s="10">
        <v>299</v>
      </c>
      <c r="D381" s="10">
        <v>1</v>
      </c>
      <c r="E381" t="str">
        <f>IF(AND(C381&gt;5000,F381&lt;&gt;"East"),"High-Value Merchant Day","")</f>
        <v/>
      </c>
      <c r="F381" t="str">
        <f>_xlfn.XLOOKUP(A381,Merchants!A:A,Merchants!D:D)</f>
        <v>East</v>
      </c>
    </row>
    <row r="382" spans="1:6" x14ac:dyDescent="0.4">
      <c r="A382">
        <v>35</v>
      </c>
      <c r="B382" s="8">
        <v>46046</v>
      </c>
      <c r="C382" s="10">
        <v>149</v>
      </c>
      <c r="D382" s="10">
        <v>1</v>
      </c>
      <c r="E382" t="str">
        <f>IF(AND(C382&gt;5000,F382&lt;&gt;"East"),"High-Value Merchant Day","")</f>
        <v/>
      </c>
      <c r="F382" t="str">
        <f>_xlfn.XLOOKUP(A382,Merchants!A:A,Merchants!D:D)</f>
        <v>East</v>
      </c>
    </row>
    <row r="383" spans="1:6" x14ac:dyDescent="0.4">
      <c r="A383">
        <v>35</v>
      </c>
      <c r="B383" s="8">
        <v>46048</v>
      </c>
      <c r="C383" s="10">
        <v>499</v>
      </c>
      <c r="D383" s="10">
        <v>1</v>
      </c>
      <c r="E383" t="str">
        <f>IF(AND(C383&gt;5000,F383&lt;&gt;"East"),"High-Value Merchant Day","")</f>
        <v/>
      </c>
      <c r="F383" t="str">
        <f>_xlfn.XLOOKUP(A383,Merchants!A:A,Merchants!D:D)</f>
        <v>East</v>
      </c>
    </row>
    <row r="384" spans="1:6" x14ac:dyDescent="0.4">
      <c r="A384">
        <v>35</v>
      </c>
      <c r="B384" s="8">
        <v>46050</v>
      </c>
      <c r="C384" s="10">
        <v>49</v>
      </c>
      <c r="D384" s="10">
        <v>1</v>
      </c>
      <c r="E384" t="str">
        <f>IF(AND(C384&gt;5000,F384&lt;&gt;"East"),"High-Value Merchant Day","")</f>
        <v/>
      </c>
      <c r="F384" t="str">
        <f>_xlfn.XLOOKUP(A384,Merchants!A:A,Merchants!D:D)</f>
        <v>East</v>
      </c>
    </row>
    <row r="385" spans="1:6" x14ac:dyDescent="0.4">
      <c r="A385">
        <v>35</v>
      </c>
      <c r="B385" s="8">
        <v>46052</v>
      </c>
      <c r="C385" s="10">
        <v>99</v>
      </c>
      <c r="D385" s="10">
        <v>1</v>
      </c>
      <c r="E385" t="str">
        <f>IF(AND(C385&gt;5000,F385&lt;&gt;"East"),"High-Value Merchant Day","")</f>
        <v/>
      </c>
      <c r="F385" t="str">
        <f>_xlfn.XLOOKUP(A385,Merchants!A:A,Merchants!D:D)</f>
        <v>East</v>
      </c>
    </row>
    <row r="386" spans="1:6" x14ac:dyDescent="0.4">
      <c r="A386">
        <v>36</v>
      </c>
      <c r="B386" s="8">
        <v>46023</v>
      </c>
      <c r="C386" s="10">
        <v>149</v>
      </c>
      <c r="D386" s="10">
        <v>1</v>
      </c>
      <c r="E386" t="str">
        <f>IF(AND(C386&gt;5000,F386&lt;&gt;"East"),"High-Value Merchant Day","")</f>
        <v/>
      </c>
      <c r="F386" t="str">
        <f>_xlfn.XLOOKUP(A386,Merchants!A:A,Merchants!D:D)</f>
        <v>East</v>
      </c>
    </row>
    <row r="387" spans="1:6" x14ac:dyDescent="0.4">
      <c r="A387">
        <v>36</v>
      </c>
      <c r="B387" s="8">
        <v>46024</v>
      </c>
      <c r="C387" s="10">
        <v>299</v>
      </c>
      <c r="D387" s="10">
        <v>1</v>
      </c>
      <c r="E387" t="str">
        <f>IF(AND(C387&gt;5000,F387&lt;&gt;"East"),"High-Value Merchant Day","")</f>
        <v/>
      </c>
      <c r="F387" t="str">
        <f>_xlfn.XLOOKUP(A387,Merchants!A:A,Merchants!D:D)</f>
        <v>East</v>
      </c>
    </row>
    <row r="388" spans="1:6" x14ac:dyDescent="0.4">
      <c r="A388">
        <v>36</v>
      </c>
      <c r="B388" s="8">
        <v>46025</v>
      </c>
      <c r="C388" s="10">
        <v>248</v>
      </c>
      <c r="D388" s="10">
        <v>2</v>
      </c>
      <c r="E388" t="str">
        <f>IF(AND(C388&gt;5000,F388&lt;&gt;"East"),"High-Value Merchant Day","")</f>
        <v/>
      </c>
      <c r="F388" t="str">
        <f>_xlfn.XLOOKUP(A388,Merchants!A:A,Merchants!D:D)</f>
        <v>East</v>
      </c>
    </row>
    <row r="389" spans="1:6" x14ac:dyDescent="0.4">
      <c r="A389">
        <v>36</v>
      </c>
      <c r="B389" s="8">
        <v>46026</v>
      </c>
      <c r="C389" s="10">
        <v>149</v>
      </c>
      <c r="D389" s="10">
        <v>1</v>
      </c>
      <c r="E389" t="str">
        <f>IF(AND(C389&gt;5000,F389&lt;&gt;"East"),"High-Value Merchant Day","")</f>
        <v/>
      </c>
      <c r="F389" t="str">
        <f>_xlfn.XLOOKUP(A389,Merchants!A:A,Merchants!D:D)</f>
        <v>East</v>
      </c>
    </row>
    <row r="390" spans="1:6" x14ac:dyDescent="0.4">
      <c r="A390">
        <v>36</v>
      </c>
      <c r="B390" s="8">
        <v>46038</v>
      </c>
      <c r="C390" s="10">
        <v>1499</v>
      </c>
      <c r="D390" s="10">
        <v>1</v>
      </c>
      <c r="E390" t="str">
        <f>IF(AND(C390&gt;5000,F390&lt;&gt;"East"),"High-Value Merchant Day","")</f>
        <v/>
      </c>
      <c r="F390" t="str">
        <f>_xlfn.XLOOKUP(A390,Merchants!A:A,Merchants!D:D)</f>
        <v>East</v>
      </c>
    </row>
    <row r="391" spans="1:6" x14ac:dyDescent="0.4">
      <c r="A391">
        <v>36</v>
      </c>
      <c r="B391" s="8">
        <v>46039</v>
      </c>
      <c r="C391" s="10">
        <v>1499</v>
      </c>
      <c r="D391" s="10">
        <v>1</v>
      </c>
      <c r="E391" t="str">
        <f>IF(AND(C391&gt;5000,F391&lt;&gt;"East"),"High-Value Merchant Day","")</f>
        <v/>
      </c>
      <c r="F391" t="str">
        <f>_xlfn.XLOOKUP(A391,Merchants!A:A,Merchants!D:D)</f>
        <v>East</v>
      </c>
    </row>
    <row r="392" spans="1:6" x14ac:dyDescent="0.4">
      <c r="A392">
        <v>36</v>
      </c>
      <c r="B392" s="8">
        <v>46041</v>
      </c>
      <c r="C392" s="10">
        <v>4999</v>
      </c>
      <c r="D392" s="10">
        <v>1</v>
      </c>
      <c r="E392" t="str">
        <f>IF(AND(C392&gt;5000,F392&lt;&gt;"East"),"High-Value Merchant Day","")</f>
        <v/>
      </c>
      <c r="F392" t="str">
        <f>_xlfn.XLOOKUP(A392,Merchants!A:A,Merchants!D:D)</f>
        <v>East</v>
      </c>
    </row>
    <row r="393" spans="1:6" x14ac:dyDescent="0.4">
      <c r="A393">
        <v>36</v>
      </c>
      <c r="B393" s="8">
        <v>46042</v>
      </c>
      <c r="C393" s="10">
        <v>49</v>
      </c>
      <c r="D393" s="10">
        <v>1</v>
      </c>
      <c r="E393" t="str">
        <f>IF(AND(C393&gt;5000,F393&lt;&gt;"East"),"High-Value Merchant Day","")</f>
        <v/>
      </c>
      <c r="F393" t="str">
        <f>_xlfn.XLOOKUP(A393,Merchants!A:A,Merchants!D:D)</f>
        <v>East</v>
      </c>
    </row>
    <row r="394" spans="1:6" x14ac:dyDescent="0.4">
      <c r="A394">
        <v>36</v>
      </c>
      <c r="B394" s="8">
        <v>46046</v>
      </c>
      <c r="C394" s="10">
        <v>1647</v>
      </c>
      <c r="D394" s="10">
        <v>3</v>
      </c>
      <c r="E394" t="str">
        <f>IF(AND(C394&gt;5000,F394&lt;&gt;"East"),"High-Value Merchant Day","")</f>
        <v/>
      </c>
      <c r="F394" t="str">
        <f>_xlfn.XLOOKUP(A394,Merchants!A:A,Merchants!D:D)</f>
        <v>East</v>
      </c>
    </row>
    <row r="395" spans="1:6" x14ac:dyDescent="0.4">
      <c r="A395">
        <v>36</v>
      </c>
      <c r="B395" s="8">
        <v>46048</v>
      </c>
      <c r="C395" s="10">
        <v>198</v>
      </c>
      <c r="D395" s="10">
        <v>2</v>
      </c>
      <c r="E395" t="str">
        <f>IF(AND(C395&gt;5000,F395&lt;&gt;"East"),"High-Value Merchant Day","")</f>
        <v/>
      </c>
      <c r="F395" t="str">
        <f>_xlfn.XLOOKUP(A395,Merchants!A:A,Merchants!D:D)</f>
        <v>East</v>
      </c>
    </row>
    <row r="396" spans="1:6" x14ac:dyDescent="0.4">
      <c r="A396">
        <v>36</v>
      </c>
      <c r="B396" s="8">
        <v>46050</v>
      </c>
      <c r="C396" s="10">
        <v>999</v>
      </c>
      <c r="D396" s="10">
        <v>1</v>
      </c>
      <c r="E396" t="str">
        <f>IF(AND(C396&gt;5000,F396&lt;&gt;"East"),"High-Value Merchant Day","")</f>
        <v/>
      </c>
      <c r="F396" t="str">
        <f>_xlfn.XLOOKUP(A396,Merchants!A:A,Merchants!D:D)</f>
        <v>East</v>
      </c>
    </row>
    <row r="397" spans="1:6" x14ac:dyDescent="0.4">
      <c r="A397">
        <v>36</v>
      </c>
      <c r="B397" s="8">
        <v>46051</v>
      </c>
      <c r="C397" s="10">
        <v>799</v>
      </c>
      <c r="D397" s="10">
        <v>1</v>
      </c>
      <c r="E397" t="str">
        <f>IF(AND(C397&gt;5000,F397&lt;&gt;"East"),"High-Value Merchant Day","")</f>
        <v/>
      </c>
      <c r="F397" t="str">
        <f>_xlfn.XLOOKUP(A397,Merchants!A:A,Merchants!D:D)</f>
        <v>East</v>
      </c>
    </row>
    <row r="398" spans="1:6" x14ac:dyDescent="0.4">
      <c r="A398">
        <v>37</v>
      </c>
      <c r="B398" s="8">
        <v>46023</v>
      </c>
      <c r="C398" s="10">
        <v>598</v>
      </c>
      <c r="D398" s="10">
        <v>2</v>
      </c>
      <c r="E398" t="str">
        <f>IF(AND(C398&gt;5000,F398&lt;&gt;"East"),"High-Value Merchant Day","")</f>
        <v/>
      </c>
      <c r="F398" t="str">
        <f>_xlfn.XLOOKUP(A398,Merchants!A:A,Merchants!D:D)</f>
        <v>South</v>
      </c>
    </row>
    <row r="399" spans="1:6" x14ac:dyDescent="0.4">
      <c r="A399">
        <v>37</v>
      </c>
      <c r="B399" s="8">
        <v>46024</v>
      </c>
      <c r="C399" s="10">
        <v>2999</v>
      </c>
      <c r="D399" s="10">
        <v>1</v>
      </c>
      <c r="E399" t="str">
        <f>IF(AND(C399&gt;5000,F399&lt;&gt;"East"),"High-Value Merchant Day","")</f>
        <v/>
      </c>
      <c r="F399" t="str">
        <f>_xlfn.XLOOKUP(A399,Merchants!A:A,Merchants!D:D)</f>
        <v>South</v>
      </c>
    </row>
    <row r="400" spans="1:6" x14ac:dyDescent="0.4">
      <c r="A400">
        <v>37</v>
      </c>
      <c r="B400" s="8">
        <v>46025</v>
      </c>
      <c r="C400" s="10">
        <v>299</v>
      </c>
      <c r="D400" s="10">
        <v>1</v>
      </c>
      <c r="E400" t="str">
        <f>IF(AND(C400&gt;5000,F400&lt;&gt;"East"),"High-Value Merchant Day","")</f>
        <v/>
      </c>
      <c r="F400" t="str">
        <f>_xlfn.XLOOKUP(A400,Merchants!A:A,Merchants!D:D)</f>
        <v>South</v>
      </c>
    </row>
    <row r="401" spans="1:6" x14ac:dyDescent="0.4">
      <c r="A401">
        <v>37</v>
      </c>
      <c r="B401" s="8">
        <v>46026</v>
      </c>
      <c r="C401" s="10">
        <v>49</v>
      </c>
      <c r="D401" s="10">
        <v>1</v>
      </c>
      <c r="E401" t="str">
        <f>IF(AND(C401&gt;5000,F401&lt;&gt;"East"),"High-Value Merchant Day","")</f>
        <v/>
      </c>
      <c r="F401" t="str">
        <f>_xlfn.XLOOKUP(A401,Merchants!A:A,Merchants!D:D)</f>
        <v>South</v>
      </c>
    </row>
    <row r="402" spans="1:6" x14ac:dyDescent="0.4">
      <c r="A402">
        <v>37</v>
      </c>
      <c r="B402" s="8">
        <v>46027</v>
      </c>
      <c r="C402" s="10">
        <v>1499</v>
      </c>
      <c r="D402" s="10">
        <v>1</v>
      </c>
      <c r="E402" t="str">
        <f>IF(AND(C402&gt;5000,F402&lt;&gt;"East"),"High-Value Merchant Day","")</f>
        <v/>
      </c>
      <c r="F402" t="str">
        <f>_xlfn.XLOOKUP(A402,Merchants!A:A,Merchants!D:D)</f>
        <v>South</v>
      </c>
    </row>
    <row r="403" spans="1:6" x14ac:dyDescent="0.4">
      <c r="A403">
        <v>37</v>
      </c>
      <c r="B403" s="8">
        <v>46028</v>
      </c>
      <c r="C403" s="10">
        <v>99</v>
      </c>
      <c r="D403" s="10">
        <v>1</v>
      </c>
      <c r="E403" t="str">
        <f>IF(AND(C403&gt;5000,F403&lt;&gt;"East"),"High-Value Merchant Day","")</f>
        <v/>
      </c>
      <c r="F403" t="str">
        <f>_xlfn.XLOOKUP(A403,Merchants!A:A,Merchants!D:D)</f>
        <v>South</v>
      </c>
    </row>
    <row r="404" spans="1:6" x14ac:dyDescent="0.4">
      <c r="A404">
        <v>37</v>
      </c>
      <c r="B404" s="8">
        <v>46034</v>
      </c>
      <c r="C404" s="10">
        <v>149</v>
      </c>
      <c r="D404" s="10">
        <v>1</v>
      </c>
      <c r="E404" t="str">
        <f>IF(AND(C404&gt;5000,F404&lt;&gt;"East"),"High-Value Merchant Day","")</f>
        <v/>
      </c>
      <c r="F404" t="str">
        <f>_xlfn.XLOOKUP(A404,Merchants!A:A,Merchants!D:D)</f>
        <v>South</v>
      </c>
    </row>
    <row r="405" spans="1:6" x14ac:dyDescent="0.4">
      <c r="A405">
        <v>37</v>
      </c>
      <c r="B405" s="8">
        <v>46038</v>
      </c>
      <c r="C405" s="10">
        <v>2999</v>
      </c>
      <c r="D405" s="10">
        <v>1</v>
      </c>
      <c r="E405" t="str">
        <f>IF(AND(C405&gt;5000,F405&lt;&gt;"East"),"High-Value Merchant Day","")</f>
        <v/>
      </c>
      <c r="F405" t="str">
        <f>_xlfn.XLOOKUP(A405,Merchants!A:A,Merchants!D:D)</f>
        <v>South</v>
      </c>
    </row>
    <row r="406" spans="1:6" x14ac:dyDescent="0.4">
      <c r="A406">
        <v>37</v>
      </c>
      <c r="B406" s="8">
        <v>46039</v>
      </c>
      <c r="C406" s="10">
        <v>49</v>
      </c>
      <c r="D406" s="10">
        <v>1</v>
      </c>
      <c r="E406" t="str">
        <f>IF(AND(C406&gt;5000,F406&lt;&gt;"East"),"High-Value Merchant Day","")</f>
        <v/>
      </c>
      <c r="F406" t="str">
        <f>_xlfn.XLOOKUP(A406,Merchants!A:A,Merchants!D:D)</f>
        <v>South</v>
      </c>
    </row>
    <row r="407" spans="1:6" x14ac:dyDescent="0.4">
      <c r="A407">
        <v>37</v>
      </c>
      <c r="B407" s="8">
        <v>46042</v>
      </c>
      <c r="C407" s="10">
        <v>149</v>
      </c>
      <c r="D407" s="10">
        <v>1</v>
      </c>
      <c r="E407" t="str">
        <f>IF(AND(C407&gt;5000,F407&lt;&gt;"East"),"High-Value Merchant Day","")</f>
        <v/>
      </c>
      <c r="F407" t="str">
        <f>_xlfn.XLOOKUP(A407,Merchants!A:A,Merchants!D:D)</f>
        <v>South</v>
      </c>
    </row>
    <row r="408" spans="1:6" x14ac:dyDescent="0.4">
      <c r="A408">
        <v>37</v>
      </c>
      <c r="B408" s="8">
        <v>46043</v>
      </c>
      <c r="C408" s="10">
        <v>99</v>
      </c>
      <c r="D408" s="10">
        <v>1</v>
      </c>
      <c r="E408" t="str">
        <f>IF(AND(C408&gt;5000,F408&lt;&gt;"East"),"High-Value Merchant Day","")</f>
        <v/>
      </c>
      <c r="F408" t="str">
        <f>_xlfn.XLOOKUP(A408,Merchants!A:A,Merchants!D:D)</f>
        <v>South</v>
      </c>
    </row>
    <row r="409" spans="1:6" x14ac:dyDescent="0.4">
      <c r="A409">
        <v>37</v>
      </c>
      <c r="B409" s="8">
        <v>46045</v>
      </c>
      <c r="C409" s="10">
        <v>1999</v>
      </c>
      <c r="D409" s="10">
        <v>1</v>
      </c>
      <c r="E409" t="str">
        <f>IF(AND(C409&gt;5000,F409&lt;&gt;"East"),"High-Value Merchant Day","")</f>
        <v/>
      </c>
      <c r="F409" t="str">
        <f>_xlfn.XLOOKUP(A409,Merchants!A:A,Merchants!D:D)</f>
        <v>South</v>
      </c>
    </row>
    <row r="410" spans="1:6" x14ac:dyDescent="0.4">
      <c r="A410">
        <v>37</v>
      </c>
      <c r="B410" s="8">
        <v>46049</v>
      </c>
      <c r="C410" s="10">
        <v>799</v>
      </c>
      <c r="D410" s="10">
        <v>1</v>
      </c>
      <c r="E410" t="str">
        <f>IF(AND(C410&gt;5000,F410&lt;&gt;"East"),"High-Value Merchant Day","")</f>
        <v/>
      </c>
      <c r="F410" t="str">
        <f>_xlfn.XLOOKUP(A410,Merchants!A:A,Merchants!D:D)</f>
        <v>South</v>
      </c>
    </row>
    <row r="411" spans="1:6" x14ac:dyDescent="0.4">
      <c r="A411">
        <v>37</v>
      </c>
      <c r="B411" s="8">
        <v>46050</v>
      </c>
      <c r="C411" s="10">
        <v>697</v>
      </c>
      <c r="D411" s="10">
        <v>3</v>
      </c>
      <c r="E411" t="str">
        <f>IF(AND(C411&gt;5000,F411&lt;&gt;"East"),"High-Value Merchant Day","")</f>
        <v/>
      </c>
      <c r="F411" t="str">
        <f>_xlfn.XLOOKUP(A411,Merchants!A:A,Merchants!D:D)</f>
        <v>South</v>
      </c>
    </row>
    <row r="412" spans="1:6" x14ac:dyDescent="0.4">
      <c r="A412">
        <v>37</v>
      </c>
      <c r="B412" s="8">
        <v>46051</v>
      </c>
      <c r="C412" s="10">
        <v>149</v>
      </c>
      <c r="D412" s="10">
        <v>1</v>
      </c>
      <c r="E412" t="str">
        <f>IF(AND(C412&gt;5000,F412&lt;&gt;"East"),"High-Value Merchant Day","")</f>
        <v/>
      </c>
      <c r="F412" t="str">
        <f>_xlfn.XLOOKUP(A412,Merchants!A:A,Merchants!D:D)</f>
        <v>South</v>
      </c>
    </row>
    <row r="413" spans="1:6" x14ac:dyDescent="0.4">
      <c r="A413">
        <v>37</v>
      </c>
      <c r="B413" s="8">
        <v>46052</v>
      </c>
      <c r="C413" s="10">
        <v>299</v>
      </c>
      <c r="D413" s="10">
        <v>1</v>
      </c>
      <c r="E413" t="str">
        <f>IF(AND(C413&gt;5000,F413&lt;&gt;"East"),"High-Value Merchant Day","")</f>
        <v/>
      </c>
      <c r="F413" t="str">
        <f>_xlfn.XLOOKUP(A413,Merchants!A:A,Merchants!D:D)</f>
        <v>South</v>
      </c>
    </row>
    <row r="414" spans="1:6" x14ac:dyDescent="0.4">
      <c r="A414">
        <v>38</v>
      </c>
      <c r="B414" s="8">
        <v>46027</v>
      </c>
      <c r="C414" s="10">
        <v>1499</v>
      </c>
      <c r="D414" s="10">
        <v>1</v>
      </c>
      <c r="E414" t="str">
        <f>IF(AND(C414&gt;5000,F414&lt;&gt;"East"),"High-Value Merchant Day","")</f>
        <v/>
      </c>
      <c r="F414" t="str">
        <f>_xlfn.XLOOKUP(A414,Merchants!A:A,Merchants!D:D)</f>
        <v>East</v>
      </c>
    </row>
    <row r="415" spans="1:6" x14ac:dyDescent="0.4">
      <c r="A415">
        <v>38</v>
      </c>
      <c r="B415" s="8">
        <v>46028</v>
      </c>
      <c r="C415" s="10">
        <v>99</v>
      </c>
      <c r="D415" s="10">
        <v>1</v>
      </c>
      <c r="E415" t="str">
        <f>IF(AND(C415&gt;5000,F415&lt;&gt;"East"),"High-Value Merchant Day","")</f>
        <v/>
      </c>
      <c r="F415" t="str">
        <f>_xlfn.XLOOKUP(A415,Merchants!A:A,Merchants!D:D)</f>
        <v>East</v>
      </c>
    </row>
    <row r="416" spans="1:6" x14ac:dyDescent="0.4">
      <c r="A416">
        <v>38</v>
      </c>
      <c r="B416" s="8">
        <v>46031</v>
      </c>
      <c r="C416" s="10">
        <v>348</v>
      </c>
      <c r="D416" s="10">
        <v>2</v>
      </c>
      <c r="E416" t="str">
        <f>IF(AND(C416&gt;5000,F416&lt;&gt;"East"),"High-Value Merchant Day","")</f>
        <v/>
      </c>
      <c r="F416" t="str">
        <f>_xlfn.XLOOKUP(A416,Merchants!A:A,Merchants!D:D)</f>
        <v>East</v>
      </c>
    </row>
    <row r="417" spans="1:6" x14ac:dyDescent="0.4">
      <c r="A417">
        <v>38</v>
      </c>
      <c r="B417" s="8">
        <v>46032</v>
      </c>
      <c r="C417" s="10">
        <v>398</v>
      </c>
      <c r="D417" s="10">
        <v>2</v>
      </c>
      <c r="E417" t="str">
        <f>IF(AND(C417&gt;5000,F417&lt;&gt;"East"),"High-Value Merchant Day","")</f>
        <v/>
      </c>
      <c r="F417" t="str">
        <f>_xlfn.XLOOKUP(A417,Merchants!A:A,Merchants!D:D)</f>
        <v>East</v>
      </c>
    </row>
    <row r="418" spans="1:6" x14ac:dyDescent="0.4">
      <c r="A418">
        <v>38</v>
      </c>
      <c r="B418" s="8">
        <v>46037</v>
      </c>
      <c r="C418" s="10">
        <v>499</v>
      </c>
      <c r="D418" s="10">
        <v>1</v>
      </c>
      <c r="E418" t="str">
        <f>IF(AND(C418&gt;5000,F418&lt;&gt;"East"),"High-Value Merchant Day","")</f>
        <v/>
      </c>
      <c r="F418" t="str">
        <f>_xlfn.XLOOKUP(A418,Merchants!A:A,Merchants!D:D)</f>
        <v>East</v>
      </c>
    </row>
    <row r="419" spans="1:6" x14ac:dyDescent="0.4">
      <c r="A419">
        <v>38</v>
      </c>
      <c r="B419" s="8">
        <v>46044</v>
      </c>
      <c r="C419" s="10">
        <v>299</v>
      </c>
      <c r="D419" s="10">
        <v>1</v>
      </c>
      <c r="E419" t="str">
        <f>IF(AND(C419&gt;5000,F419&lt;&gt;"East"),"High-Value Merchant Day","")</f>
        <v/>
      </c>
      <c r="F419" t="str">
        <f>_xlfn.XLOOKUP(A419,Merchants!A:A,Merchants!D:D)</f>
        <v>East</v>
      </c>
    </row>
    <row r="420" spans="1:6" x14ac:dyDescent="0.4">
      <c r="A420">
        <v>38</v>
      </c>
      <c r="B420" s="8">
        <v>46045</v>
      </c>
      <c r="C420" s="10">
        <v>499</v>
      </c>
      <c r="D420" s="10">
        <v>1</v>
      </c>
      <c r="E420" t="str">
        <f>IF(AND(C420&gt;5000,F420&lt;&gt;"East"),"High-Value Merchant Day","")</f>
        <v/>
      </c>
      <c r="F420" t="str">
        <f>_xlfn.XLOOKUP(A420,Merchants!A:A,Merchants!D:D)</f>
        <v>East</v>
      </c>
    </row>
    <row r="421" spans="1:6" x14ac:dyDescent="0.4">
      <c r="A421">
        <v>38</v>
      </c>
      <c r="B421" s="8">
        <v>46050</v>
      </c>
      <c r="C421" s="10">
        <v>299</v>
      </c>
      <c r="D421" s="10">
        <v>1</v>
      </c>
      <c r="E421" t="str">
        <f>IF(AND(C421&gt;5000,F421&lt;&gt;"East"),"High-Value Merchant Day","")</f>
        <v/>
      </c>
      <c r="F421" t="str">
        <f>_xlfn.XLOOKUP(A421,Merchants!A:A,Merchants!D:D)</f>
        <v>East</v>
      </c>
    </row>
    <row r="422" spans="1:6" x14ac:dyDescent="0.4">
      <c r="A422">
        <v>39</v>
      </c>
      <c r="B422" s="8">
        <v>46024</v>
      </c>
      <c r="C422" s="10">
        <v>499</v>
      </c>
      <c r="D422" s="10">
        <v>1</v>
      </c>
      <c r="E422" t="str">
        <f>IF(AND(C422&gt;5000,F422&lt;&gt;"East"),"High-Value Merchant Day","")</f>
        <v/>
      </c>
      <c r="F422" t="str">
        <f>_xlfn.XLOOKUP(A422,Merchants!A:A,Merchants!D:D)</f>
        <v>North</v>
      </c>
    </row>
    <row r="423" spans="1:6" x14ac:dyDescent="0.4">
      <c r="A423">
        <v>39</v>
      </c>
      <c r="B423" s="8">
        <v>46027</v>
      </c>
      <c r="C423" s="10">
        <v>299</v>
      </c>
      <c r="D423" s="10">
        <v>1</v>
      </c>
      <c r="E423" t="str">
        <f>IF(AND(C423&gt;5000,F423&lt;&gt;"East"),"High-Value Merchant Day","")</f>
        <v/>
      </c>
      <c r="F423" t="str">
        <f>_xlfn.XLOOKUP(A423,Merchants!A:A,Merchants!D:D)</f>
        <v>North</v>
      </c>
    </row>
    <row r="424" spans="1:6" x14ac:dyDescent="0.4">
      <c r="A424">
        <v>39</v>
      </c>
      <c r="B424" s="8">
        <v>46031</v>
      </c>
      <c r="C424" s="10">
        <v>399</v>
      </c>
      <c r="D424" s="10">
        <v>1</v>
      </c>
      <c r="E424" t="str">
        <f>IF(AND(C424&gt;5000,F424&lt;&gt;"East"),"High-Value Merchant Day","")</f>
        <v/>
      </c>
      <c r="F424" t="str">
        <f>_xlfn.XLOOKUP(A424,Merchants!A:A,Merchants!D:D)</f>
        <v>North</v>
      </c>
    </row>
    <row r="425" spans="1:6" x14ac:dyDescent="0.4">
      <c r="A425">
        <v>39</v>
      </c>
      <c r="B425" s="8">
        <v>46032</v>
      </c>
      <c r="C425" s="10">
        <v>49</v>
      </c>
      <c r="D425" s="10">
        <v>1</v>
      </c>
      <c r="E425" t="str">
        <f>IF(AND(C425&gt;5000,F425&lt;&gt;"East"),"High-Value Merchant Day","")</f>
        <v/>
      </c>
      <c r="F425" t="str">
        <f>_xlfn.XLOOKUP(A425,Merchants!A:A,Merchants!D:D)</f>
        <v>North</v>
      </c>
    </row>
    <row r="426" spans="1:6" x14ac:dyDescent="0.4">
      <c r="A426">
        <v>39</v>
      </c>
      <c r="B426" s="8">
        <v>46038</v>
      </c>
      <c r="C426" s="10">
        <v>499</v>
      </c>
      <c r="D426" s="10">
        <v>1</v>
      </c>
      <c r="E426" t="str">
        <f>IF(AND(C426&gt;5000,F426&lt;&gt;"East"),"High-Value Merchant Day","")</f>
        <v/>
      </c>
      <c r="F426" t="str">
        <f>_xlfn.XLOOKUP(A426,Merchants!A:A,Merchants!D:D)</f>
        <v>North</v>
      </c>
    </row>
    <row r="427" spans="1:6" x14ac:dyDescent="0.4">
      <c r="A427">
        <v>39</v>
      </c>
      <c r="B427" s="8">
        <v>46039</v>
      </c>
      <c r="C427" s="10">
        <v>2999</v>
      </c>
      <c r="D427" s="10">
        <v>1</v>
      </c>
      <c r="E427" t="str">
        <f>IF(AND(C427&gt;5000,F427&lt;&gt;"East"),"High-Value Merchant Day","")</f>
        <v/>
      </c>
      <c r="F427" t="str">
        <f>_xlfn.XLOOKUP(A427,Merchants!A:A,Merchants!D:D)</f>
        <v>North</v>
      </c>
    </row>
    <row r="428" spans="1:6" x14ac:dyDescent="0.4">
      <c r="A428">
        <v>39</v>
      </c>
      <c r="B428" s="8">
        <v>46040</v>
      </c>
      <c r="C428" s="10">
        <v>2999</v>
      </c>
      <c r="D428" s="10">
        <v>1</v>
      </c>
      <c r="E428" t="str">
        <f>IF(AND(C428&gt;5000,F428&lt;&gt;"East"),"High-Value Merchant Day","")</f>
        <v/>
      </c>
      <c r="F428" t="str">
        <f>_xlfn.XLOOKUP(A428,Merchants!A:A,Merchants!D:D)</f>
        <v>North</v>
      </c>
    </row>
    <row r="429" spans="1:6" x14ac:dyDescent="0.4">
      <c r="A429">
        <v>39</v>
      </c>
      <c r="B429" s="8">
        <v>46044</v>
      </c>
      <c r="C429" s="10">
        <v>9796</v>
      </c>
      <c r="D429" s="10">
        <v>4</v>
      </c>
      <c r="E429" t="str">
        <f>IF(AND(C429&gt;5000,F429&lt;&gt;"East"),"High-Value Merchant Day","")</f>
        <v>High-Value Merchant Day</v>
      </c>
      <c r="F429" t="str">
        <f>_xlfn.XLOOKUP(A429,Merchants!A:A,Merchants!D:D)</f>
        <v>North</v>
      </c>
    </row>
    <row r="430" spans="1:6" x14ac:dyDescent="0.4">
      <c r="A430">
        <v>39</v>
      </c>
      <c r="B430" s="8">
        <v>46045</v>
      </c>
      <c r="C430" s="10">
        <v>4999</v>
      </c>
      <c r="D430" s="10">
        <v>1</v>
      </c>
      <c r="E430" t="str">
        <f>IF(AND(C430&gt;5000,F430&lt;&gt;"East"),"High-Value Merchant Day","")</f>
        <v/>
      </c>
      <c r="F430" t="str">
        <f>_xlfn.XLOOKUP(A430,Merchants!A:A,Merchants!D:D)</f>
        <v>North</v>
      </c>
    </row>
    <row r="431" spans="1:6" x14ac:dyDescent="0.4">
      <c r="A431">
        <v>39</v>
      </c>
      <c r="B431" s="8">
        <v>46051</v>
      </c>
      <c r="C431" s="10">
        <v>149</v>
      </c>
      <c r="D431" s="10">
        <v>1</v>
      </c>
      <c r="E431" t="str">
        <f>IF(AND(C431&gt;5000,F431&lt;&gt;"East"),"High-Value Merchant Day","")</f>
        <v/>
      </c>
      <c r="F431" t="str">
        <f>_xlfn.XLOOKUP(A431,Merchants!A:A,Merchants!D:D)</f>
        <v>North</v>
      </c>
    </row>
    <row r="432" spans="1:6" x14ac:dyDescent="0.4">
      <c r="A432">
        <v>40</v>
      </c>
      <c r="B432" s="8">
        <v>46023</v>
      </c>
      <c r="C432" s="10">
        <v>299</v>
      </c>
      <c r="D432" s="10">
        <v>1</v>
      </c>
      <c r="E432" t="str">
        <f>IF(AND(C432&gt;5000,F432&lt;&gt;"East"),"High-Value Merchant Day","")</f>
        <v/>
      </c>
      <c r="F432" t="str">
        <f>_xlfn.XLOOKUP(A432,Merchants!A:A,Merchants!D:D)</f>
        <v>South</v>
      </c>
    </row>
    <row r="433" spans="1:6" x14ac:dyDescent="0.4">
      <c r="A433">
        <v>40</v>
      </c>
      <c r="B433" s="8">
        <v>46025</v>
      </c>
      <c r="C433" s="10">
        <v>49</v>
      </c>
      <c r="D433" s="10">
        <v>1</v>
      </c>
      <c r="E433" t="str">
        <f>IF(AND(C433&gt;5000,F433&lt;&gt;"East"),"High-Value Merchant Day","")</f>
        <v/>
      </c>
      <c r="F433" t="str">
        <f>_xlfn.XLOOKUP(A433,Merchants!A:A,Merchants!D:D)</f>
        <v>South</v>
      </c>
    </row>
    <row r="434" spans="1:6" x14ac:dyDescent="0.4">
      <c r="A434">
        <v>40</v>
      </c>
      <c r="B434" s="8">
        <v>46030</v>
      </c>
      <c r="C434" s="10">
        <v>49</v>
      </c>
      <c r="D434" s="10">
        <v>1</v>
      </c>
      <c r="E434" t="str">
        <f>IF(AND(C434&gt;5000,F434&lt;&gt;"East"),"High-Value Merchant Day","")</f>
        <v/>
      </c>
      <c r="F434" t="str">
        <f>_xlfn.XLOOKUP(A434,Merchants!A:A,Merchants!D:D)</f>
        <v>South</v>
      </c>
    </row>
    <row r="435" spans="1:6" x14ac:dyDescent="0.4">
      <c r="A435">
        <v>40</v>
      </c>
      <c r="B435" s="8">
        <v>46033</v>
      </c>
      <c r="C435" s="10">
        <v>4999</v>
      </c>
      <c r="D435" s="10">
        <v>1</v>
      </c>
      <c r="E435" t="str">
        <f>IF(AND(C435&gt;5000,F435&lt;&gt;"East"),"High-Value Merchant Day","")</f>
        <v/>
      </c>
      <c r="F435" t="str">
        <f>_xlfn.XLOOKUP(A435,Merchants!A:A,Merchants!D:D)</f>
        <v>South</v>
      </c>
    </row>
    <row r="436" spans="1:6" x14ac:dyDescent="0.4">
      <c r="A436">
        <v>40</v>
      </c>
      <c r="B436" s="8">
        <v>46034</v>
      </c>
      <c r="C436" s="10">
        <v>99</v>
      </c>
      <c r="D436" s="10">
        <v>1</v>
      </c>
      <c r="E436" t="str">
        <f>IF(AND(C436&gt;5000,F436&lt;&gt;"East"),"High-Value Merchant Day","")</f>
        <v/>
      </c>
      <c r="F436" t="str">
        <f>_xlfn.XLOOKUP(A436,Merchants!A:A,Merchants!D:D)</f>
        <v>South</v>
      </c>
    </row>
    <row r="437" spans="1:6" x14ac:dyDescent="0.4">
      <c r="A437">
        <v>40</v>
      </c>
      <c r="B437" s="8">
        <v>46035</v>
      </c>
      <c r="C437" s="10">
        <v>299</v>
      </c>
      <c r="D437" s="10">
        <v>1</v>
      </c>
      <c r="E437" t="str">
        <f>IF(AND(C437&gt;5000,F437&lt;&gt;"East"),"High-Value Merchant Day","")</f>
        <v/>
      </c>
      <c r="F437" t="str">
        <f>_xlfn.XLOOKUP(A437,Merchants!A:A,Merchants!D:D)</f>
        <v>South</v>
      </c>
    </row>
    <row r="438" spans="1:6" x14ac:dyDescent="0.4">
      <c r="A438">
        <v>40</v>
      </c>
      <c r="B438" s="8">
        <v>46036</v>
      </c>
      <c r="C438" s="10">
        <v>99</v>
      </c>
      <c r="D438" s="10">
        <v>1</v>
      </c>
      <c r="E438" t="str">
        <f>IF(AND(C438&gt;5000,F438&lt;&gt;"East"),"High-Value Merchant Day","")</f>
        <v/>
      </c>
      <c r="F438" t="str">
        <f>_xlfn.XLOOKUP(A438,Merchants!A:A,Merchants!D:D)</f>
        <v>South</v>
      </c>
    </row>
    <row r="439" spans="1:6" x14ac:dyDescent="0.4">
      <c r="A439">
        <v>40</v>
      </c>
      <c r="B439" s="8">
        <v>46037</v>
      </c>
      <c r="C439" s="10">
        <v>149</v>
      </c>
      <c r="D439" s="10">
        <v>1</v>
      </c>
      <c r="E439" t="str">
        <f>IF(AND(C439&gt;5000,F439&lt;&gt;"East"),"High-Value Merchant Day","")</f>
        <v/>
      </c>
      <c r="F439" t="str">
        <f>_xlfn.XLOOKUP(A439,Merchants!A:A,Merchants!D:D)</f>
        <v>South</v>
      </c>
    </row>
    <row r="440" spans="1:6" x14ac:dyDescent="0.4">
      <c r="A440">
        <v>40</v>
      </c>
      <c r="B440" s="8">
        <v>46040</v>
      </c>
      <c r="C440" s="10">
        <v>799</v>
      </c>
      <c r="D440" s="10">
        <v>1</v>
      </c>
      <c r="E440" t="str">
        <f>IF(AND(C440&gt;5000,F440&lt;&gt;"East"),"High-Value Merchant Day","")</f>
        <v/>
      </c>
      <c r="F440" t="str">
        <f>_xlfn.XLOOKUP(A440,Merchants!A:A,Merchants!D:D)</f>
        <v>South</v>
      </c>
    </row>
    <row r="441" spans="1:6" x14ac:dyDescent="0.4">
      <c r="A441">
        <v>40</v>
      </c>
      <c r="B441" s="8">
        <v>46041</v>
      </c>
      <c r="C441" s="10">
        <v>648</v>
      </c>
      <c r="D441" s="10">
        <v>2</v>
      </c>
      <c r="E441" t="str">
        <f>IF(AND(C441&gt;5000,F441&lt;&gt;"East"),"High-Value Merchant Day","")</f>
        <v/>
      </c>
      <c r="F441" t="str">
        <f>_xlfn.XLOOKUP(A441,Merchants!A:A,Merchants!D:D)</f>
        <v>South</v>
      </c>
    </row>
    <row r="442" spans="1:6" x14ac:dyDescent="0.4">
      <c r="A442">
        <v>40</v>
      </c>
      <c r="B442" s="8">
        <v>46045</v>
      </c>
      <c r="C442" s="10">
        <v>598</v>
      </c>
      <c r="D442" s="10">
        <v>2</v>
      </c>
      <c r="E442" t="str">
        <f>IF(AND(C442&gt;5000,F442&lt;&gt;"East"),"High-Value Merchant Day","")</f>
        <v/>
      </c>
      <c r="F442" t="str">
        <f>_xlfn.XLOOKUP(A442,Merchants!A:A,Merchants!D:D)</f>
        <v>South</v>
      </c>
    </row>
    <row r="443" spans="1:6" x14ac:dyDescent="0.4">
      <c r="A443">
        <v>40</v>
      </c>
      <c r="B443" s="8">
        <v>46051</v>
      </c>
      <c r="C443" s="10">
        <v>149</v>
      </c>
      <c r="D443" s="10">
        <v>1</v>
      </c>
      <c r="E443" t="str">
        <f>IF(AND(C443&gt;5000,F443&lt;&gt;"East"),"High-Value Merchant Day","")</f>
        <v/>
      </c>
      <c r="F443" t="str">
        <f>_xlfn.XLOOKUP(A443,Merchants!A:A,Merchants!D:D)</f>
        <v>South</v>
      </c>
    </row>
    <row r="444" spans="1:6" x14ac:dyDescent="0.4">
      <c r="A444">
        <v>40</v>
      </c>
      <c r="B444" s="8">
        <v>46052</v>
      </c>
      <c r="C444" s="10">
        <v>499</v>
      </c>
      <c r="D444" s="10">
        <v>1</v>
      </c>
      <c r="E444" t="str">
        <f>IF(AND(C444&gt;5000,F444&lt;&gt;"East"),"High-Value Merchant Day","")</f>
        <v/>
      </c>
      <c r="F444" t="str">
        <f>_xlfn.XLOOKUP(A444,Merchants!A:A,Merchants!D:D)</f>
        <v>South</v>
      </c>
    </row>
    <row r="445" spans="1:6" x14ac:dyDescent="0.4">
      <c r="A445" t="s">
        <v>627</v>
      </c>
      <c r="C445" s="10">
        <v>382603</v>
      </c>
      <c r="D445" s="10">
        <v>547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I93"/>
  <sheetViews>
    <sheetView workbookViewId="0">
      <selection activeCell="H14" sqref="H14"/>
    </sheetView>
  </sheetViews>
  <sheetFormatPr defaultRowHeight="14.6" x14ac:dyDescent="0.4"/>
  <cols>
    <col min="1" max="1" width="13.61328125" bestFit="1" customWidth="1"/>
    <col min="2" max="2" width="10.15234375" bestFit="1" customWidth="1"/>
    <col min="3" max="3" width="16.61328125" bestFit="1" customWidth="1"/>
    <col min="4" max="4" width="20.3828125" bestFit="1" customWidth="1"/>
    <col min="7" max="7" width="10.84375" bestFit="1" customWidth="1"/>
    <col min="8" max="8" width="20.765625" customWidth="1"/>
    <col min="9" max="9" width="19.921875" bestFit="1" customWidth="1"/>
  </cols>
  <sheetData>
    <row r="1" spans="1:9" x14ac:dyDescent="0.4">
      <c r="A1" s="9" t="s">
        <v>0</v>
      </c>
      <c r="B1" s="9" t="s">
        <v>60</v>
      </c>
      <c r="C1" t="s">
        <v>628</v>
      </c>
      <c r="D1" t="s">
        <v>630</v>
      </c>
      <c r="G1" s="15"/>
      <c r="H1" s="15"/>
      <c r="I1" s="15"/>
    </row>
    <row r="2" spans="1:9" x14ac:dyDescent="0.4">
      <c r="A2">
        <v>1</v>
      </c>
      <c r="B2" t="s">
        <v>64</v>
      </c>
      <c r="C2" s="10">
        <v>10142</v>
      </c>
      <c r="D2" s="10">
        <v>8</v>
      </c>
    </row>
    <row r="3" spans="1:9" x14ac:dyDescent="0.4">
      <c r="A3">
        <v>1</v>
      </c>
      <c r="B3" t="s">
        <v>79</v>
      </c>
      <c r="C3" s="10">
        <v>299</v>
      </c>
      <c r="D3" s="10">
        <v>1</v>
      </c>
    </row>
    <row r="4" spans="1:9" x14ac:dyDescent="0.4">
      <c r="A4">
        <v>2</v>
      </c>
      <c r="B4" t="s">
        <v>64</v>
      </c>
      <c r="C4" s="10">
        <v>3640</v>
      </c>
      <c r="D4" s="10">
        <v>10</v>
      </c>
    </row>
    <row r="5" spans="1:9" x14ac:dyDescent="0.4">
      <c r="A5">
        <v>3</v>
      </c>
      <c r="B5" t="s">
        <v>64</v>
      </c>
      <c r="C5" s="10">
        <v>8084</v>
      </c>
      <c r="D5" s="10">
        <v>16</v>
      </c>
    </row>
    <row r="6" spans="1:9" x14ac:dyDescent="0.4">
      <c r="A6">
        <v>3</v>
      </c>
      <c r="B6" t="s">
        <v>92</v>
      </c>
      <c r="C6" s="10">
        <v>149</v>
      </c>
      <c r="D6" s="10">
        <v>1</v>
      </c>
    </row>
    <row r="7" spans="1:9" x14ac:dyDescent="0.4">
      <c r="A7">
        <v>4</v>
      </c>
      <c r="B7" t="s">
        <v>64</v>
      </c>
      <c r="C7" s="10">
        <v>6941</v>
      </c>
      <c r="D7" s="10">
        <v>9</v>
      </c>
    </row>
    <row r="8" spans="1:9" x14ac:dyDescent="0.4">
      <c r="A8">
        <v>5</v>
      </c>
      <c r="B8" t="s">
        <v>64</v>
      </c>
      <c r="C8" s="10">
        <v>5340</v>
      </c>
      <c r="D8" s="10">
        <v>10</v>
      </c>
      <c r="G8" s="16"/>
      <c r="H8" s="17"/>
      <c r="I8" s="17"/>
    </row>
    <row r="9" spans="1:9" x14ac:dyDescent="0.4">
      <c r="A9">
        <v>5</v>
      </c>
      <c r="B9" t="s">
        <v>79</v>
      </c>
      <c r="C9" s="10">
        <v>499</v>
      </c>
      <c r="D9" s="10">
        <v>1</v>
      </c>
    </row>
    <row r="10" spans="1:9" x14ac:dyDescent="0.4">
      <c r="A10">
        <v>6</v>
      </c>
      <c r="B10" t="s">
        <v>64</v>
      </c>
      <c r="C10" s="10">
        <v>6637</v>
      </c>
      <c r="D10" s="10">
        <v>13</v>
      </c>
    </row>
    <row r="11" spans="1:9" x14ac:dyDescent="0.4">
      <c r="A11">
        <v>6</v>
      </c>
      <c r="B11" t="s">
        <v>92</v>
      </c>
      <c r="C11" s="10">
        <v>799</v>
      </c>
      <c r="D11" s="10">
        <v>1</v>
      </c>
    </row>
    <row r="12" spans="1:9" x14ac:dyDescent="0.4">
      <c r="A12">
        <v>7</v>
      </c>
      <c r="B12" t="s">
        <v>64</v>
      </c>
      <c r="C12" s="10">
        <v>11638</v>
      </c>
      <c r="D12" s="10">
        <v>12</v>
      </c>
    </row>
    <row r="13" spans="1:9" x14ac:dyDescent="0.4">
      <c r="A13">
        <v>7</v>
      </c>
      <c r="B13" t="s">
        <v>92</v>
      </c>
      <c r="C13" s="10">
        <v>1999</v>
      </c>
      <c r="D13" s="10">
        <v>1</v>
      </c>
    </row>
    <row r="14" spans="1:9" x14ac:dyDescent="0.4">
      <c r="A14">
        <v>7</v>
      </c>
      <c r="B14" t="s">
        <v>79</v>
      </c>
      <c r="C14" s="10">
        <v>2297</v>
      </c>
      <c r="D14" s="10">
        <v>3</v>
      </c>
    </row>
    <row r="15" spans="1:9" x14ac:dyDescent="0.4">
      <c r="A15">
        <v>8</v>
      </c>
      <c r="B15" t="s">
        <v>64</v>
      </c>
      <c r="C15" s="10">
        <v>7086</v>
      </c>
      <c r="D15" s="10">
        <v>14</v>
      </c>
    </row>
    <row r="16" spans="1:9" x14ac:dyDescent="0.4">
      <c r="A16">
        <v>8</v>
      </c>
      <c r="B16" t="s">
        <v>92</v>
      </c>
      <c r="C16" s="10">
        <v>49</v>
      </c>
      <c r="D16" s="10">
        <v>1</v>
      </c>
    </row>
    <row r="17" spans="1:4" x14ac:dyDescent="0.4">
      <c r="A17">
        <v>8</v>
      </c>
      <c r="B17" t="s">
        <v>79</v>
      </c>
      <c r="C17" s="10">
        <v>299</v>
      </c>
      <c r="D17" s="10">
        <v>1</v>
      </c>
    </row>
    <row r="18" spans="1:4" x14ac:dyDescent="0.4">
      <c r="A18">
        <v>9</v>
      </c>
      <c r="B18" t="s">
        <v>64</v>
      </c>
      <c r="C18" s="10">
        <v>4485</v>
      </c>
      <c r="D18" s="10">
        <v>15</v>
      </c>
    </row>
    <row r="19" spans="1:4" x14ac:dyDescent="0.4">
      <c r="A19">
        <v>9</v>
      </c>
      <c r="B19" t="s">
        <v>79</v>
      </c>
      <c r="C19" s="10">
        <v>497</v>
      </c>
      <c r="D19" s="10">
        <v>3</v>
      </c>
    </row>
    <row r="20" spans="1:4" x14ac:dyDescent="0.4">
      <c r="A20">
        <v>10</v>
      </c>
      <c r="B20" t="s">
        <v>64</v>
      </c>
      <c r="C20" s="10">
        <v>7639</v>
      </c>
      <c r="D20" s="10">
        <v>11</v>
      </c>
    </row>
    <row r="21" spans="1:4" x14ac:dyDescent="0.4">
      <c r="A21">
        <v>10</v>
      </c>
      <c r="B21" t="s">
        <v>92</v>
      </c>
      <c r="C21" s="10">
        <v>5048</v>
      </c>
      <c r="D21" s="10">
        <v>2</v>
      </c>
    </row>
    <row r="22" spans="1:4" x14ac:dyDescent="0.4">
      <c r="A22">
        <v>10</v>
      </c>
      <c r="B22" t="s">
        <v>79</v>
      </c>
      <c r="C22" s="10">
        <v>399</v>
      </c>
      <c r="D22" s="10">
        <v>1</v>
      </c>
    </row>
    <row r="23" spans="1:4" x14ac:dyDescent="0.4">
      <c r="A23">
        <v>11</v>
      </c>
      <c r="B23" t="s">
        <v>64</v>
      </c>
      <c r="C23" s="10">
        <v>9292</v>
      </c>
      <c r="D23" s="10">
        <v>8</v>
      </c>
    </row>
    <row r="24" spans="1:4" x14ac:dyDescent="0.4">
      <c r="A24">
        <v>11</v>
      </c>
      <c r="B24" t="s">
        <v>92</v>
      </c>
      <c r="C24" s="10">
        <v>149</v>
      </c>
      <c r="D24" s="10">
        <v>1</v>
      </c>
    </row>
    <row r="25" spans="1:4" x14ac:dyDescent="0.4">
      <c r="A25">
        <v>11</v>
      </c>
      <c r="B25" t="s">
        <v>79</v>
      </c>
      <c r="C25" s="10">
        <v>1499</v>
      </c>
      <c r="D25" s="10">
        <v>1</v>
      </c>
    </row>
    <row r="26" spans="1:4" x14ac:dyDescent="0.4">
      <c r="A26">
        <v>12</v>
      </c>
      <c r="B26" t="s">
        <v>64</v>
      </c>
      <c r="C26" s="10">
        <v>9389</v>
      </c>
      <c r="D26" s="10">
        <v>11</v>
      </c>
    </row>
    <row r="27" spans="1:4" x14ac:dyDescent="0.4">
      <c r="A27">
        <v>12</v>
      </c>
      <c r="B27" t="s">
        <v>79</v>
      </c>
      <c r="C27" s="10">
        <v>998</v>
      </c>
      <c r="D27" s="10">
        <v>2</v>
      </c>
    </row>
    <row r="28" spans="1:4" x14ac:dyDescent="0.4">
      <c r="A28">
        <v>13</v>
      </c>
      <c r="B28" t="s">
        <v>64</v>
      </c>
      <c r="C28" s="10">
        <v>10390</v>
      </c>
      <c r="D28" s="10">
        <v>10</v>
      </c>
    </row>
    <row r="29" spans="1:4" x14ac:dyDescent="0.4">
      <c r="A29">
        <v>13</v>
      </c>
      <c r="B29" t="s">
        <v>92</v>
      </c>
      <c r="C29" s="10">
        <v>4999</v>
      </c>
      <c r="D29" s="10">
        <v>1</v>
      </c>
    </row>
    <row r="30" spans="1:4" x14ac:dyDescent="0.4">
      <c r="A30">
        <v>13</v>
      </c>
      <c r="B30" t="s">
        <v>79</v>
      </c>
      <c r="C30" s="10">
        <v>2999</v>
      </c>
      <c r="D30" s="10">
        <v>1</v>
      </c>
    </row>
    <row r="31" spans="1:4" x14ac:dyDescent="0.4">
      <c r="A31">
        <v>14</v>
      </c>
      <c r="B31" t="s">
        <v>64</v>
      </c>
      <c r="C31" s="10">
        <v>6189</v>
      </c>
      <c r="D31" s="10">
        <v>11</v>
      </c>
    </row>
    <row r="32" spans="1:4" x14ac:dyDescent="0.4">
      <c r="A32">
        <v>14</v>
      </c>
      <c r="B32" t="s">
        <v>79</v>
      </c>
      <c r="C32" s="10">
        <v>299</v>
      </c>
      <c r="D32" s="10">
        <v>1</v>
      </c>
    </row>
    <row r="33" spans="1:4" x14ac:dyDescent="0.4">
      <c r="A33">
        <v>15</v>
      </c>
      <c r="B33" t="s">
        <v>64</v>
      </c>
      <c r="C33" s="10">
        <v>7439</v>
      </c>
      <c r="D33" s="10">
        <v>11</v>
      </c>
    </row>
    <row r="34" spans="1:4" x14ac:dyDescent="0.4">
      <c r="A34">
        <v>15</v>
      </c>
      <c r="B34" t="s">
        <v>79</v>
      </c>
      <c r="C34" s="10">
        <v>399</v>
      </c>
      <c r="D34" s="10">
        <v>1</v>
      </c>
    </row>
    <row r="35" spans="1:4" x14ac:dyDescent="0.4">
      <c r="A35">
        <v>16</v>
      </c>
      <c r="B35" t="s">
        <v>64</v>
      </c>
      <c r="C35" s="10">
        <v>10183</v>
      </c>
      <c r="D35" s="10">
        <v>17</v>
      </c>
    </row>
    <row r="36" spans="1:4" x14ac:dyDescent="0.4">
      <c r="A36">
        <v>16</v>
      </c>
      <c r="B36" t="s">
        <v>79</v>
      </c>
      <c r="C36" s="10">
        <v>947</v>
      </c>
      <c r="D36" s="10">
        <v>3</v>
      </c>
    </row>
    <row r="37" spans="1:4" x14ac:dyDescent="0.4">
      <c r="A37">
        <v>17</v>
      </c>
      <c r="B37" t="s">
        <v>64</v>
      </c>
      <c r="C37" s="10">
        <v>12738</v>
      </c>
      <c r="D37" s="10">
        <v>12</v>
      </c>
    </row>
    <row r="38" spans="1:4" x14ac:dyDescent="0.4">
      <c r="A38">
        <v>17</v>
      </c>
      <c r="B38" t="s">
        <v>79</v>
      </c>
      <c r="C38" s="10">
        <v>299</v>
      </c>
      <c r="D38" s="10">
        <v>1</v>
      </c>
    </row>
    <row r="39" spans="1:4" x14ac:dyDescent="0.4">
      <c r="A39">
        <v>18</v>
      </c>
      <c r="B39" t="s">
        <v>64</v>
      </c>
      <c r="C39" s="10">
        <v>7089</v>
      </c>
      <c r="D39" s="10">
        <v>11</v>
      </c>
    </row>
    <row r="40" spans="1:4" x14ac:dyDescent="0.4">
      <c r="A40">
        <v>19</v>
      </c>
      <c r="B40" t="s">
        <v>64</v>
      </c>
      <c r="C40" s="10">
        <v>7239</v>
      </c>
      <c r="D40" s="10">
        <v>11</v>
      </c>
    </row>
    <row r="41" spans="1:4" x14ac:dyDescent="0.4">
      <c r="A41">
        <v>19</v>
      </c>
      <c r="B41" t="s">
        <v>92</v>
      </c>
      <c r="C41" s="10">
        <v>4999</v>
      </c>
      <c r="D41" s="10">
        <v>1</v>
      </c>
    </row>
    <row r="42" spans="1:4" x14ac:dyDescent="0.4">
      <c r="A42">
        <v>19</v>
      </c>
      <c r="B42" t="s">
        <v>79</v>
      </c>
      <c r="C42" s="10">
        <v>598</v>
      </c>
      <c r="D42" s="10">
        <v>2</v>
      </c>
    </row>
    <row r="43" spans="1:4" x14ac:dyDescent="0.4">
      <c r="A43">
        <v>20</v>
      </c>
      <c r="B43" t="s">
        <v>64</v>
      </c>
      <c r="C43" s="10">
        <v>4192</v>
      </c>
      <c r="D43" s="10">
        <v>8</v>
      </c>
    </row>
    <row r="44" spans="1:4" x14ac:dyDescent="0.4">
      <c r="A44">
        <v>20</v>
      </c>
      <c r="B44" t="s">
        <v>79</v>
      </c>
      <c r="C44" s="10">
        <v>49</v>
      </c>
      <c r="D44" s="10">
        <v>1</v>
      </c>
    </row>
    <row r="45" spans="1:4" x14ac:dyDescent="0.4">
      <c r="A45">
        <v>21</v>
      </c>
      <c r="B45" t="s">
        <v>64</v>
      </c>
      <c r="C45" s="10">
        <v>3887</v>
      </c>
      <c r="D45" s="10">
        <v>13</v>
      </c>
    </row>
    <row r="46" spans="1:4" x14ac:dyDescent="0.4">
      <c r="A46">
        <v>21</v>
      </c>
      <c r="B46" t="s">
        <v>79</v>
      </c>
      <c r="C46" s="10">
        <v>4999</v>
      </c>
      <c r="D46" s="10">
        <v>1</v>
      </c>
    </row>
    <row r="47" spans="1:4" x14ac:dyDescent="0.4">
      <c r="A47">
        <v>22</v>
      </c>
      <c r="B47" t="s">
        <v>64</v>
      </c>
      <c r="C47" s="10">
        <v>11336</v>
      </c>
      <c r="D47" s="10">
        <v>14</v>
      </c>
    </row>
    <row r="48" spans="1:4" x14ac:dyDescent="0.4">
      <c r="A48">
        <v>22</v>
      </c>
      <c r="B48" t="s">
        <v>79</v>
      </c>
      <c r="C48" s="10">
        <v>1198</v>
      </c>
      <c r="D48" s="10">
        <v>2</v>
      </c>
    </row>
    <row r="49" spans="1:4" x14ac:dyDescent="0.4">
      <c r="A49">
        <v>23</v>
      </c>
      <c r="B49" t="s">
        <v>64</v>
      </c>
      <c r="C49" s="10">
        <v>1041</v>
      </c>
      <c r="D49" s="10">
        <v>9</v>
      </c>
    </row>
    <row r="50" spans="1:4" x14ac:dyDescent="0.4">
      <c r="A50">
        <v>23</v>
      </c>
      <c r="B50" t="s">
        <v>92</v>
      </c>
      <c r="C50" s="10">
        <v>1999</v>
      </c>
      <c r="D50" s="10">
        <v>1</v>
      </c>
    </row>
    <row r="51" spans="1:4" x14ac:dyDescent="0.4">
      <c r="A51">
        <v>24</v>
      </c>
      <c r="B51" t="s">
        <v>64</v>
      </c>
      <c r="C51" s="10">
        <v>3438</v>
      </c>
      <c r="D51" s="10">
        <v>12</v>
      </c>
    </row>
    <row r="52" spans="1:4" x14ac:dyDescent="0.4">
      <c r="A52">
        <v>24</v>
      </c>
      <c r="B52" t="s">
        <v>92</v>
      </c>
      <c r="C52" s="10">
        <v>149</v>
      </c>
      <c r="D52" s="10">
        <v>1</v>
      </c>
    </row>
    <row r="53" spans="1:4" x14ac:dyDescent="0.4">
      <c r="A53">
        <v>25</v>
      </c>
      <c r="B53" t="s">
        <v>64</v>
      </c>
      <c r="C53" s="10">
        <v>12534</v>
      </c>
      <c r="D53" s="10">
        <v>16</v>
      </c>
    </row>
    <row r="54" spans="1:4" x14ac:dyDescent="0.4">
      <c r="A54">
        <v>25</v>
      </c>
      <c r="B54" t="s">
        <v>92</v>
      </c>
      <c r="C54" s="10">
        <v>2999</v>
      </c>
      <c r="D54" s="10">
        <v>1</v>
      </c>
    </row>
    <row r="55" spans="1:4" x14ac:dyDescent="0.4">
      <c r="A55">
        <v>26</v>
      </c>
      <c r="B55" t="s">
        <v>64</v>
      </c>
      <c r="C55" s="10">
        <v>2991</v>
      </c>
      <c r="D55" s="10">
        <v>9</v>
      </c>
    </row>
    <row r="56" spans="1:4" x14ac:dyDescent="0.4">
      <c r="A56">
        <v>26</v>
      </c>
      <c r="B56" t="s">
        <v>79</v>
      </c>
      <c r="C56" s="10">
        <v>2197</v>
      </c>
      <c r="D56" s="10">
        <v>3</v>
      </c>
    </row>
    <row r="57" spans="1:4" x14ac:dyDescent="0.4">
      <c r="A57">
        <v>27</v>
      </c>
      <c r="B57" t="s">
        <v>64</v>
      </c>
      <c r="C57" s="10">
        <v>8038</v>
      </c>
      <c r="D57" s="10">
        <v>12</v>
      </c>
    </row>
    <row r="58" spans="1:4" x14ac:dyDescent="0.4">
      <c r="A58">
        <v>27</v>
      </c>
      <c r="B58" t="s">
        <v>92</v>
      </c>
      <c r="C58" s="10">
        <v>4047</v>
      </c>
      <c r="D58" s="10">
        <v>3</v>
      </c>
    </row>
    <row r="59" spans="1:4" x14ac:dyDescent="0.4">
      <c r="A59">
        <v>27</v>
      </c>
      <c r="B59" t="s">
        <v>79</v>
      </c>
      <c r="C59" s="10">
        <v>1499</v>
      </c>
      <c r="D59" s="10">
        <v>1</v>
      </c>
    </row>
    <row r="60" spans="1:4" x14ac:dyDescent="0.4">
      <c r="A60">
        <v>28</v>
      </c>
      <c r="B60" t="s">
        <v>64</v>
      </c>
      <c r="C60" s="10">
        <v>4493</v>
      </c>
      <c r="D60" s="10">
        <v>7</v>
      </c>
    </row>
    <row r="61" spans="1:4" x14ac:dyDescent="0.4">
      <c r="A61">
        <v>28</v>
      </c>
      <c r="B61" t="s">
        <v>92</v>
      </c>
      <c r="C61" s="10">
        <v>1999</v>
      </c>
      <c r="D61" s="10">
        <v>1</v>
      </c>
    </row>
    <row r="62" spans="1:4" x14ac:dyDescent="0.4">
      <c r="A62">
        <v>28</v>
      </c>
      <c r="B62" t="s">
        <v>79</v>
      </c>
      <c r="C62" s="10">
        <v>3048</v>
      </c>
      <c r="D62" s="10">
        <v>2</v>
      </c>
    </row>
    <row r="63" spans="1:4" x14ac:dyDescent="0.4">
      <c r="A63">
        <v>29</v>
      </c>
      <c r="B63" t="s">
        <v>64</v>
      </c>
      <c r="C63" s="10">
        <v>5686</v>
      </c>
      <c r="D63" s="10">
        <v>14</v>
      </c>
    </row>
    <row r="64" spans="1:4" x14ac:dyDescent="0.4">
      <c r="A64">
        <v>29</v>
      </c>
      <c r="B64" t="s">
        <v>92</v>
      </c>
      <c r="C64" s="10">
        <v>3897</v>
      </c>
      <c r="D64" s="10">
        <v>3</v>
      </c>
    </row>
    <row r="65" spans="1:4" x14ac:dyDescent="0.4">
      <c r="A65">
        <v>29</v>
      </c>
      <c r="B65" t="s">
        <v>79</v>
      </c>
      <c r="C65" s="10">
        <v>3498</v>
      </c>
      <c r="D65" s="10">
        <v>2</v>
      </c>
    </row>
    <row r="66" spans="1:4" x14ac:dyDescent="0.4">
      <c r="A66">
        <v>30</v>
      </c>
      <c r="B66" t="s">
        <v>64</v>
      </c>
      <c r="C66" s="10">
        <v>7384</v>
      </c>
      <c r="D66" s="10">
        <v>16</v>
      </c>
    </row>
    <row r="67" spans="1:4" x14ac:dyDescent="0.4">
      <c r="A67">
        <v>30</v>
      </c>
      <c r="B67" t="s">
        <v>79</v>
      </c>
      <c r="C67" s="10">
        <v>499</v>
      </c>
      <c r="D67" s="10">
        <v>1</v>
      </c>
    </row>
    <row r="68" spans="1:4" x14ac:dyDescent="0.4">
      <c r="A68">
        <v>31</v>
      </c>
      <c r="B68" t="s">
        <v>64</v>
      </c>
      <c r="C68" s="10">
        <v>2640</v>
      </c>
      <c r="D68" s="10">
        <v>10</v>
      </c>
    </row>
    <row r="69" spans="1:4" x14ac:dyDescent="0.4">
      <c r="A69">
        <v>31</v>
      </c>
      <c r="B69" t="s">
        <v>92</v>
      </c>
      <c r="C69" s="10">
        <v>49</v>
      </c>
      <c r="D69" s="10">
        <v>1</v>
      </c>
    </row>
    <row r="70" spans="1:4" x14ac:dyDescent="0.4">
      <c r="A70">
        <v>31</v>
      </c>
      <c r="B70" t="s">
        <v>79</v>
      </c>
      <c r="C70" s="10">
        <v>2146</v>
      </c>
      <c r="D70" s="10">
        <v>4</v>
      </c>
    </row>
    <row r="71" spans="1:4" x14ac:dyDescent="0.4">
      <c r="A71">
        <v>32</v>
      </c>
      <c r="B71" t="s">
        <v>64</v>
      </c>
      <c r="C71" s="10">
        <v>2589</v>
      </c>
      <c r="D71" s="10">
        <v>11</v>
      </c>
    </row>
    <row r="72" spans="1:4" x14ac:dyDescent="0.4">
      <c r="A72">
        <v>32</v>
      </c>
      <c r="B72" t="s">
        <v>92</v>
      </c>
      <c r="C72" s="10">
        <v>1999</v>
      </c>
      <c r="D72" s="10">
        <v>1</v>
      </c>
    </row>
    <row r="73" spans="1:4" x14ac:dyDescent="0.4">
      <c r="A73">
        <v>32</v>
      </c>
      <c r="B73" t="s">
        <v>79</v>
      </c>
      <c r="C73" s="10">
        <v>3498</v>
      </c>
      <c r="D73" s="10">
        <v>2</v>
      </c>
    </row>
    <row r="74" spans="1:4" x14ac:dyDescent="0.4">
      <c r="A74">
        <v>33</v>
      </c>
      <c r="B74" t="s">
        <v>64</v>
      </c>
      <c r="C74" s="10">
        <v>10190</v>
      </c>
      <c r="D74" s="10">
        <v>10</v>
      </c>
    </row>
    <row r="75" spans="1:4" x14ac:dyDescent="0.4">
      <c r="A75">
        <v>33</v>
      </c>
      <c r="B75" t="s">
        <v>79</v>
      </c>
      <c r="C75" s="10">
        <v>149</v>
      </c>
      <c r="D75" s="10">
        <v>1</v>
      </c>
    </row>
    <row r="76" spans="1:4" x14ac:dyDescent="0.4">
      <c r="A76">
        <v>34</v>
      </c>
      <c r="B76" t="s">
        <v>64</v>
      </c>
      <c r="C76" s="10">
        <v>9635</v>
      </c>
      <c r="D76" s="10">
        <v>15</v>
      </c>
    </row>
    <row r="77" spans="1:4" x14ac:dyDescent="0.4">
      <c r="A77">
        <v>34</v>
      </c>
      <c r="B77" t="s">
        <v>79</v>
      </c>
      <c r="C77" s="10">
        <v>399</v>
      </c>
      <c r="D77" s="10">
        <v>1</v>
      </c>
    </row>
    <row r="78" spans="1:4" x14ac:dyDescent="0.4">
      <c r="A78">
        <v>35</v>
      </c>
      <c r="B78" t="s">
        <v>64</v>
      </c>
      <c r="C78" s="10">
        <v>8688</v>
      </c>
      <c r="D78" s="10">
        <v>12</v>
      </c>
    </row>
    <row r="79" spans="1:4" x14ac:dyDescent="0.4">
      <c r="A79">
        <v>35</v>
      </c>
      <c r="B79" t="s">
        <v>79</v>
      </c>
      <c r="C79" s="10">
        <v>598</v>
      </c>
      <c r="D79" s="10">
        <v>2</v>
      </c>
    </row>
    <row r="80" spans="1:4" x14ac:dyDescent="0.4">
      <c r="A80">
        <v>36</v>
      </c>
      <c r="B80" t="s">
        <v>64</v>
      </c>
      <c r="C80" s="10">
        <v>11535</v>
      </c>
      <c r="D80" s="10">
        <v>15</v>
      </c>
    </row>
    <row r="81" spans="1:4" x14ac:dyDescent="0.4">
      <c r="A81">
        <v>36</v>
      </c>
      <c r="B81" t="s">
        <v>92</v>
      </c>
      <c r="C81" s="10">
        <v>999</v>
      </c>
      <c r="D81" s="10">
        <v>1</v>
      </c>
    </row>
    <row r="82" spans="1:4" x14ac:dyDescent="0.4">
      <c r="A82">
        <v>37</v>
      </c>
      <c r="B82" t="s">
        <v>64</v>
      </c>
      <c r="C82" s="10">
        <v>10833</v>
      </c>
      <c r="D82" s="10">
        <v>17</v>
      </c>
    </row>
    <row r="83" spans="1:4" x14ac:dyDescent="0.4">
      <c r="A83">
        <v>37</v>
      </c>
      <c r="B83" t="s">
        <v>92</v>
      </c>
      <c r="C83" s="10">
        <v>1999</v>
      </c>
      <c r="D83" s="10">
        <v>1</v>
      </c>
    </row>
    <row r="84" spans="1:4" x14ac:dyDescent="0.4">
      <c r="A84">
        <v>37</v>
      </c>
      <c r="B84" t="s">
        <v>79</v>
      </c>
      <c r="C84" s="10">
        <v>99</v>
      </c>
      <c r="D84" s="10">
        <v>1</v>
      </c>
    </row>
    <row r="85" spans="1:4" x14ac:dyDescent="0.4">
      <c r="A85">
        <v>38</v>
      </c>
      <c r="B85" t="s">
        <v>64</v>
      </c>
      <c r="C85" s="10">
        <v>3342</v>
      </c>
      <c r="D85" s="10">
        <v>8</v>
      </c>
    </row>
    <row r="86" spans="1:4" x14ac:dyDescent="0.4">
      <c r="A86">
        <v>38</v>
      </c>
      <c r="B86" t="s">
        <v>79</v>
      </c>
      <c r="C86" s="10">
        <v>598</v>
      </c>
      <c r="D86" s="10">
        <v>2</v>
      </c>
    </row>
    <row r="87" spans="1:4" x14ac:dyDescent="0.4">
      <c r="A87">
        <v>39</v>
      </c>
      <c r="B87" t="s">
        <v>64</v>
      </c>
      <c r="C87" s="10">
        <v>11291</v>
      </c>
      <c r="D87" s="10">
        <v>9</v>
      </c>
    </row>
    <row r="88" spans="1:4" x14ac:dyDescent="0.4">
      <c r="A88">
        <v>39</v>
      </c>
      <c r="B88" t="s">
        <v>92</v>
      </c>
      <c r="C88" s="10">
        <v>10997</v>
      </c>
      <c r="D88" s="10">
        <v>3</v>
      </c>
    </row>
    <row r="89" spans="1:4" x14ac:dyDescent="0.4">
      <c r="A89">
        <v>39</v>
      </c>
      <c r="B89" t="s">
        <v>79</v>
      </c>
      <c r="C89" s="10">
        <v>399</v>
      </c>
      <c r="D89" s="10">
        <v>1</v>
      </c>
    </row>
    <row r="90" spans="1:4" x14ac:dyDescent="0.4">
      <c r="A90">
        <v>40</v>
      </c>
      <c r="B90" t="s">
        <v>64</v>
      </c>
      <c r="C90" s="10">
        <v>3039</v>
      </c>
      <c r="D90" s="10">
        <v>11</v>
      </c>
    </row>
    <row r="91" spans="1:4" x14ac:dyDescent="0.4">
      <c r="A91">
        <v>40</v>
      </c>
      <c r="B91" t="s">
        <v>92</v>
      </c>
      <c r="C91" s="10">
        <v>5148</v>
      </c>
      <c r="D91" s="10">
        <v>2</v>
      </c>
    </row>
    <row r="92" spans="1:4" x14ac:dyDescent="0.4">
      <c r="A92">
        <v>40</v>
      </c>
      <c r="B92" t="s">
        <v>79</v>
      </c>
      <c r="C92" s="10">
        <v>548</v>
      </c>
      <c r="D92" s="10">
        <v>2</v>
      </c>
    </row>
    <row r="93" spans="1:4" x14ac:dyDescent="0.4">
      <c r="A93" t="s">
        <v>627</v>
      </c>
      <c r="C93" s="10">
        <v>382603</v>
      </c>
      <c r="D93" s="10">
        <v>547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C8"/>
  <sheetViews>
    <sheetView tabSelected="1" workbookViewId="0">
      <selection activeCell="B14" sqref="B14"/>
    </sheetView>
  </sheetViews>
  <sheetFormatPr defaultRowHeight="14.6" x14ac:dyDescent="0.4"/>
  <cols>
    <col min="1" max="1" width="11.3828125" bestFit="1" customWidth="1"/>
    <col min="2" max="2" width="21.23046875" bestFit="1" customWidth="1"/>
    <col min="3" max="3" width="20.69140625" bestFit="1" customWidth="1"/>
  </cols>
  <sheetData>
    <row r="1" spans="1:3" x14ac:dyDescent="0.4">
      <c r="A1" s="12" t="s">
        <v>0</v>
      </c>
      <c r="B1" s="12" t="s">
        <v>631</v>
      </c>
      <c r="C1" s="12" t="s">
        <v>632</v>
      </c>
    </row>
    <row r="2" spans="1:3" x14ac:dyDescent="0.4">
      <c r="A2" s="13">
        <v>1</v>
      </c>
      <c r="B2" s="13">
        <f>COUNTIF(Daily_Summary!$A:$A,A2)</f>
        <v>7</v>
      </c>
      <c r="C2" s="13">
        <f>COUNTIF(Transactions_View!$C:$C,A2)</f>
        <v>9</v>
      </c>
    </row>
    <row r="3" spans="1:3" x14ac:dyDescent="0.4">
      <c r="A3" s="13">
        <v>2</v>
      </c>
      <c r="B3" s="13">
        <f>COUNTIF(Daily_Summary!$A:$A,A3)</f>
        <v>9</v>
      </c>
      <c r="C3" s="13">
        <f>COUNTIF(Transactions_View!$C:$C,A3)</f>
        <v>10</v>
      </c>
    </row>
    <row r="4" spans="1:3" x14ac:dyDescent="0.4">
      <c r="A4" s="13">
        <v>3</v>
      </c>
      <c r="B4" s="13">
        <f>COUNTIF(Daily_Summary!$A:$A,A4)</f>
        <v>13</v>
      </c>
      <c r="C4" s="13">
        <f>COUNTIF(Transactions_View!$C:$C,A4)</f>
        <v>17</v>
      </c>
    </row>
    <row r="5" spans="1:3" x14ac:dyDescent="0.4">
      <c r="A5" s="13">
        <v>4</v>
      </c>
      <c r="B5" s="13">
        <f>COUNTIF(Daily_Summary!$A:$A,A5)</f>
        <v>7</v>
      </c>
      <c r="C5" s="13">
        <f>COUNTIF(Transactions_View!$C:$C,A5)</f>
        <v>9</v>
      </c>
    </row>
    <row r="6" spans="1:3" x14ac:dyDescent="0.4">
      <c r="A6" s="13">
        <v>5</v>
      </c>
      <c r="B6" s="13">
        <f>COUNTIF(Daily_Summary!$A:$A,A6)</f>
        <v>9</v>
      </c>
      <c r="C6" s="13">
        <f>COUNTIF(Transactions_View!$C:$C,A6)</f>
        <v>11</v>
      </c>
    </row>
    <row r="8" spans="1:3" x14ac:dyDescent="0.4">
      <c r="A8" s="16" t="s">
        <v>633</v>
      </c>
      <c r="B8" s="14" t="s">
        <v>634</v>
      </c>
      <c r="C8" s="14"/>
    </row>
  </sheetData>
  <mergeCells count="1">
    <mergeCell ref="B8:C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main file</vt:lpstr>
      <vt:lpstr>Merchants</vt:lpstr>
      <vt:lpstr>Transactions_View</vt:lpstr>
      <vt:lpstr>Fee_Lookup</vt:lpstr>
      <vt:lpstr>Daily_Summary</vt:lpstr>
      <vt:lpstr>Pivot_Analysis</vt:lpstr>
      <vt:lpstr>Merchant_Comparison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Roshan Jaisimha</dc:creator>
  <cp:lastModifiedBy>Roshan Jaisimha</cp:lastModifiedBy>
  <dcterms:created xsi:type="dcterms:W3CDTF">2026-08-24T07:36:06Z</dcterms:created>
  <dcterms:modified xsi:type="dcterms:W3CDTF">2026-08-24T17:47:35Z</dcterms:modified>
</cp:coreProperties>
</file>